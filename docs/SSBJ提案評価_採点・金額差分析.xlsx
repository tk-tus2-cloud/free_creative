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採点表（仮採点・理由）" sheetId="1" state="visible" r:id="rId3"/>
    <sheet name="サマリ" sheetId="2" state="visible" r:id="rId4"/>
    <sheet name="金額差分析" sheetId="3" state="visible" r:id="rId5"/>
    <sheet name="スコープ構造比較（難所別）" sheetId="4" state="visible" r:id="rId6"/>
    <sheet name="価格ギャップと解消リクエスト"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<sst xmlns="http://schemas.openxmlformats.org/spreadsheetml/2006/main" count="357" uniqueCount="337">
  <si>
    <r>
      <rPr>
        <b val="true"/>
        <sz val="14"/>
        <color rgb="FFFFFFFF"/>
        <rFont val="WenQuanYi Zen Hei"/>
        <family val="2"/>
      </rPr>
      <t xml:space="preserve">提案評価 採点シート｜</t>
    </r>
    <r>
      <rPr>
        <b val="true"/>
        <sz val="14"/>
        <color rgb="FFFFFFFF"/>
        <rFont val="Meiryo"/>
        <family val="0"/>
        <charset val="1"/>
      </rPr>
      <t xml:space="preserve">SSBJ</t>
    </r>
    <r>
      <rPr>
        <b val="true"/>
        <sz val="14"/>
        <color rgb="FFFFFFFF"/>
        <rFont val="WenQuanYi Zen Hei"/>
        <family val="2"/>
      </rPr>
      <t xml:space="preserve">対応 要求定義支援ファーム選定（書面ベースの仮採点）</t>
    </r>
  </si>
  <si>
    <r>
      <rPr>
        <sz val="9"/>
        <color rgb="FF000000"/>
        <rFont val="WenQuanYi Zen Hei"/>
        <family val="2"/>
      </rPr>
      <t xml:space="preserve">※本シートは提案書（書面）のみに基づく仮採点。採点ルール「書面評価は仮採点とし、コンペ質疑の回答を反映した確定素点のみ本シートに記入」に従い、黄色セル（質疑確認事項を含む項目）はコンペ質疑後に見直しのこと。得点＝配点</t>
    </r>
    <r>
      <rPr>
        <sz val="9"/>
        <color rgb="FF000000"/>
        <rFont val="Meiryo"/>
        <family val="0"/>
        <charset val="1"/>
      </rPr>
      <t xml:space="preserve">×</t>
    </r>
    <r>
      <rPr>
        <sz val="9"/>
        <color rgb="FF000000"/>
        <rFont val="WenQuanYi Zen Hei"/>
        <family val="2"/>
      </rPr>
      <t xml:space="preserve">素点</t>
    </r>
    <r>
      <rPr>
        <sz val="9"/>
        <color rgb="FF000000"/>
        <rFont val="Meiryo"/>
        <family val="0"/>
        <charset val="1"/>
      </rPr>
      <t xml:space="preserve">÷5</t>
    </r>
    <r>
      <rPr>
        <sz val="9"/>
        <color rgb="FF000000"/>
        <rFont val="WenQuanYi Zen Hei"/>
        <family val="2"/>
      </rPr>
      <t xml:space="preserve">（小数第</t>
    </r>
    <r>
      <rPr>
        <sz val="9"/>
        <color rgb="FF000000"/>
        <rFont val="Meiryo"/>
        <family val="0"/>
        <charset val="1"/>
      </rPr>
      <t xml:space="preserve">1</t>
    </r>
    <r>
      <rPr>
        <sz val="9"/>
        <color rgb="FF000000"/>
        <rFont val="WenQuanYi Zen Hei"/>
        <family val="2"/>
      </rPr>
      <t xml:space="preserve">位）。裏付け（実名・事例・数値）のない主張は素点</t>
    </r>
    <r>
      <rPr>
        <sz val="9"/>
        <color rgb="FF000000"/>
        <rFont val="Meiryo"/>
        <family val="0"/>
        <charset val="1"/>
      </rPr>
      <t xml:space="preserve">3</t>
    </r>
    <r>
      <rPr>
        <sz val="9"/>
        <color rgb="FF000000"/>
        <rFont val="WenQuanYi Zen Hei"/>
        <family val="2"/>
      </rPr>
      <t xml:space="preserve">を上限として採点。</t>
    </r>
  </si>
  <si>
    <t xml:space="preserve">No.</t>
  </si>
  <si>
    <t xml:space="preserve">採点項目</t>
  </si>
  <si>
    <t xml:space="preserve">評価の着眼点</t>
  </si>
  <si>
    <t xml:space="preserve">配点</t>
  </si>
  <si>
    <r>
      <rPr>
        <b val="true"/>
        <sz val="10"/>
        <color rgb="FFFFFFFF"/>
        <rFont val="Meiryo"/>
        <family val="0"/>
        <charset val="1"/>
      </rPr>
      <t xml:space="preserve">A</t>
    </r>
    <r>
      <rPr>
        <b val="true"/>
        <sz val="10"/>
        <color rgb="FFFFFFFF"/>
        <rFont val="WenQuanYi Zen Hei"/>
        <family val="2"/>
      </rPr>
      <t xml:space="preserve">社：ライズ・コンサルティング</t>
    </r>
  </si>
  <si>
    <r>
      <rPr>
        <b val="true"/>
        <sz val="10"/>
        <color rgb="FFFFFFFF"/>
        <rFont val="Meiryo"/>
        <family val="0"/>
        <charset val="1"/>
      </rPr>
      <t xml:space="preserve">B</t>
    </r>
    <r>
      <rPr>
        <b val="true"/>
        <sz val="10"/>
        <color rgb="FFFFFFFF"/>
        <rFont val="WenQuanYi Zen Hei"/>
        <family val="2"/>
      </rPr>
      <t xml:space="preserve">社：</t>
    </r>
    <r>
      <rPr>
        <b val="true"/>
        <sz val="10"/>
        <color rgb="FFFFFFFF"/>
        <rFont val="Meiryo"/>
        <family val="0"/>
        <charset val="1"/>
      </rPr>
      <t xml:space="preserve">PwC</t>
    </r>
    <r>
      <rPr>
        <b val="true"/>
        <sz val="10"/>
        <color rgb="FFFFFFFF"/>
        <rFont val="WenQuanYi Zen Hei"/>
        <family val="2"/>
      </rPr>
      <t xml:space="preserve">コンサルティング</t>
    </r>
  </si>
  <si>
    <r>
      <rPr>
        <b val="true"/>
        <sz val="10"/>
        <color rgb="FFFFFFFF"/>
        <rFont val="Meiryo"/>
        <family val="0"/>
        <charset val="1"/>
      </rPr>
      <t xml:space="preserve">C</t>
    </r>
    <r>
      <rPr>
        <b val="true"/>
        <sz val="10"/>
        <color rgb="FFFFFFFF"/>
        <rFont val="WenQuanYi Zen Hei"/>
        <family val="2"/>
      </rPr>
      <t xml:space="preserve">社：アビームコンサルティング</t>
    </r>
  </si>
  <si>
    <t xml:space="preserve">素点</t>
  </si>
  <si>
    <t xml:space="preserve">得点</t>
  </si>
  <si>
    <t xml:space="preserve">評価理由（仮採点の根拠・質疑確認事項）</t>
  </si>
  <si>
    <r>
      <rPr>
        <b val="true"/>
        <sz val="10"/>
        <color rgb="FF000000"/>
        <rFont val="Meiryo"/>
        <family val="0"/>
        <charset val="1"/>
      </rPr>
      <t xml:space="preserve">Q</t>
    </r>
    <r>
      <rPr>
        <b val="true"/>
        <sz val="10"/>
        <color rgb="FF000000"/>
        <rFont val="WenQuanYi Zen Hei"/>
        <family val="2"/>
      </rPr>
      <t xml:space="preserve">｜</t>
    </r>
    <r>
      <rPr>
        <b val="true"/>
        <sz val="10"/>
        <color rgb="FF000000"/>
        <rFont val="Meiryo"/>
        <family val="0"/>
        <charset val="1"/>
      </rPr>
      <t xml:space="preserve">Quality</t>
    </r>
    <r>
      <rPr>
        <b val="true"/>
        <sz val="10"/>
        <color rgb="FF000000"/>
        <rFont val="WenQuanYi Zen Hei"/>
        <family val="2"/>
      </rPr>
      <t xml:space="preserve">（品質）— 提案内容と体制の質</t>
    </r>
  </si>
  <si>
    <t xml:space="preserve">Q1</t>
  </si>
  <si>
    <t xml:space="preserve">課題理解・前提の的確性</t>
  </si>
  <si>
    <r>
      <rPr>
        <sz val="8"/>
        <color rgb="FF000000"/>
        <rFont val="WenQuanYi Zen Hei"/>
        <family val="2"/>
      </rPr>
      <t xml:space="preserve">戦略とシステムの並行推進・手戻り許容の特殊前提と「</t>
    </r>
    <r>
      <rPr>
        <sz val="8"/>
        <color rgb="FF000000"/>
        <rFont val="Meiryo"/>
        <family val="0"/>
        <charset val="1"/>
      </rPr>
      <t xml:space="preserve">5</t>
    </r>
    <r>
      <rPr>
        <sz val="8"/>
        <color rgb="FF000000"/>
        <rFont val="WenQuanYi Zen Hei"/>
        <family val="2"/>
      </rPr>
      <t xml:space="preserve">つの難所」を提案全体に反映しているか</t>
    </r>
  </si>
  <si>
    <r>
      <rPr>
        <sz val="8"/>
        <color rgb="FF000000"/>
        <rFont val="Meiryo"/>
        <family val="0"/>
        <charset val="1"/>
      </rPr>
      <t xml:space="preserve">5</t>
    </r>
    <r>
      <rPr>
        <sz val="8"/>
        <color rgb="FF000000"/>
        <rFont val="WenQuanYi Zen Hei"/>
        <family val="2"/>
      </rPr>
      <t xml:space="preserve">つの難所を提案の骨格（課題認識→アプローチ→成果物）に一貫して使用。難所</t>
    </r>
    <r>
      <rPr>
        <sz val="8"/>
        <color rgb="FF000000"/>
        <rFont val="Meiryo"/>
        <family val="0"/>
        <charset val="1"/>
      </rPr>
      <t xml:space="preserve">1</t>
    </r>
    <r>
      <rPr>
        <sz val="8"/>
        <color rgb="FF000000"/>
        <rFont val="WenQuanYi Zen Hei"/>
        <family val="2"/>
      </rPr>
      <t xml:space="preserve">・</t>
    </r>
    <r>
      <rPr>
        <sz val="8"/>
        <color rgb="FF000000"/>
        <rFont val="Meiryo"/>
        <family val="0"/>
        <charset val="1"/>
      </rPr>
      <t xml:space="preserve">5</t>
    </r>
    <r>
      <rPr>
        <sz val="8"/>
        <color rgb="FF000000"/>
        <rFont val="WenQuanYi Zen Hei"/>
        <family val="2"/>
      </rPr>
      <t xml:space="preserve">の先行検討と「条件付き要件」で戦略並行・手戻り許容の特殊前提に対応しており、要求を満たし先回りもある。</t>
    </r>
  </si>
  <si>
    <r>
      <rPr>
        <sz val="8"/>
        <color rgb="FF000000"/>
        <rFont val="WenQuanYi Zen Hei"/>
        <family val="2"/>
      </rPr>
      <t xml:space="preserve">【</t>
    </r>
    <r>
      <rPr>
        <sz val="8"/>
        <color rgb="FF000000"/>
        <rFont val="Meiryo"/>
        <family val="0"/>
        <charset val="1"/>
      </rPr>
      <t xml:space="preserve">4→3</t>
    </r>
    <r>
      <rPr>
        <sz val="8"/>
        <color rgb="FF000000"/>
        <rFont val="WenQuanYi Zen Hei"/>
        <family val="2"/>
      </rPr>
      <t xml:space="preserve">に補正】</t>
    </r>
    <r>
      <rPr>
        <sz val="8"/>
        <color rgb="FF000000"/>
        <rFont val="Meiryo"/>
        <family val="0"/>
        <charset val="1"/>
      </rPr>
      <t xml:space="preserve">5</t>
    </r>
    <r>
      <rPr>
        <sz val="8"/>
        <color rgb="FF000000"/>
        <rFont val="WenQuanYi Zen Hei"/>
        <family val="2"/>
      </rPr>
      <t xml:space="preserve">つの難所に独自の難所⑥（複数</t>
    </r>
    <r>
      <rPr>
        <sz val="8"/>
        <color rgb="FF000000"/>
        <rFont val="Meiryo"/>
        <family val="0"/>
        <charset val="1"/>
      </rPr>
      <t xml:space="preserve">WS</t>
    </r>
    <r>
      <rPr>
        <sz val="8"/>
        <color rgb="FF000000"/>
        <rFont val="WenQuanYi Zen Hei"/>
        <family val="2"/>
      </rPr>
      <t xml:space="preserve">の変更連鎖管理）⑦（全世界拠点への定着）を追加し</t>
    </r>
    <r>
      <rPr>
        <sz val="8"/>
        <color rgb="FF000000"/>
        <rFont val="Meiryo"/>
        <family val="0"/>
        <charset val="1"/>
      </rPr>
      <t xml:space="preserve">2029</t>
    </r>
    <r>
      <rPr>
        <sz val="8"/>
        <color rgb="FF000000"/>
        <rFont val="WenQuanYi Zen Hei"/>
        <family val="2"/>
      </rPr>
      <t xml:space="preserve">年開示から逆算のロードマップを提示（独自知見）。一方で標準線表が</t>
    </r>
    <r>
      <rPr>
        <sz val="8"/>
        <color rgb="FF000000"/>
        <rFont val="Meiryo"/>
        <family val="0"/>
        <charset val="1"/>
      </rPr>
      <t xml:space="preserve">RFP</t>
    </r>
    <r>
      <rPr>
        <sz val="8"/>
        <color rgb="FF000000"/>
        <rFont val="WenQuanYi Zen Hei"/>
        <family val="2"/>
      </rPr>
      <t xml:space="preserve">発出</t>
    </r>
    <r>
      <rPr>
        <sz val="8"/>
        <color rgb="FF000000"/>
        <rFont val="Meiryo"/>
        <family val="0"/>
        <charset val="1"/>
      </rPr>
      <t xml:space="preserve">12</t>
    </r>
    <r>
      <rPr>
        <sz val="8"/>
        <color rgb="FF000000"/>
        <rFont val="WenQuanYi Zen Hei"/>
        <family val="2"/>
      </rPr>
      <t xml:space="preserve">月末（仮）となっており、</t>
    </r>
    <r>
      <rPr>
        <sz val="8"/>
        <color rgb="FF000000"/>
        <rFont val="Meiryo"/>
        <family val="0"/>
        <charset val="1"/>
      </rPr>
      <t xml:space="preserve">11</t>
    </r>
    <r>
      <rPr>
        <sz val="8"/>
        <color rgb="FF000000"/>
        <rFont val="WenQuanYi Zen Hei"/>
        <family val="2"/>
      </rPr>
      <t xml:space="preserve">月末</t>
    </r>
    <r>
      <rPr>
        <sz val="8"/>
        <color rgb="FF000000"/>
        <rFont val="Meiryo"/>
        <family val="0"/>
        <charset val="1"/>
      </rPr>
      <t xml:space="preserve">RFP</t>
    </r>
    <r>
      <rPr>
        <sz val="8"/>
        <color rgb="FF000000"/>
        <rFont val="WenQuanYi Zen Hei"/>
        <family val="2"/>
      </rPr>
      <t xml:space="preserve">完了という貴社の時間軸理解にズレ。さらに「</t>
    </r>
    <r>
      <rPr>
        <sz val="8"/>
        <color rgb="FF000000"/>
        <rFont val="Meiryo"/>
        <family val="0"/>
        <charset val="1"/>
      </rPr>
      <t xml:space="preserve">2-1.</t>
    </r>
    <r>
      <rPr>
        <sz val="8"/>
        <color rgb="FF000000"/>
        <rFont val="WenQuanYi Zen Hei"/>
        <family val="2"/>
      </rPr>
      <t xml:space="preserve">ご依頼事項（</t>
    </r>
    <r>
      <rPr>
        <sz val="8"/>
        <color rgb="FF000000"/>
        <rFont val="Meiryo"/>
        <family val="0"/>
        <charset val="1"/>
      </rPr>
      <t xml:space="preserve">PwC</t>
    </r>
    <r>
      <rPr>
        <sz val="8"/>
        <color rgb="FF000000"/>
        <rFont val="WenQuanYi Zen Hei"/>
        <family val="2"/>
      </rPr>
      <t xml:space="preserve">理解）」（</t>
    </r>
    <r>
      <rPr>
        <sz val="8"/>
        <color rgb="FF000000"/>
        <rFont val="Meiryo"/>
        <family val="0"/>
        <charset val="1"/>
      </rPr>
      <t xml:space="preserve">P.10</t>
    </r>
    <r>
      <rPr>
        <sz val="8"/>
        <color rgb="FF000000"/>
        <rFont val="WenQuanYi Zen Hei"/>
        <family val="2"/>
      </rPr>
      <t xml:space="preserve">）では攻め（</t>
    </r>
    <r>
      <rPr>
        <sz val="8"/>
        <color rgb="FF000000"/>
        <rFont val="Meiryo"/>
        <family val="0"/>
        <charset val="1"/>
      </rPr>
      <t xml:space="preserve">Scope3</t>
    </r>
    <r>
      <rPr>
        <sz val="8"/>
        <color rgb="FF000000"/>
        <rFont val="WenQuanYi Zen Hei"/>
        <family val="2"/>
      </rPr>
      <t xml:space="preserve">一次データ改革・</t>
    </r>
    <r>
      <rPr>
        <sz val="8"/>
        <color rgb="FF000000"/>
        <rFont val="Meiryo"/>
        <family val="0"/>
        <charset val="1"/>
      </rPr>
      <t xml:space="preserve">CFP</t>
    </r>
    <r>
      <rPr>
        <sz val="8"/>
        <color rgb="FF000000"/>
        <rFont val="WenQuanYi Zen Hei"/>
        <family val="2"/>
      </rPr>
      <t xml:space="preserve">開示スキーム）を正確に理解していると明記しながら、提案全体のアプローチ図「</t>
    </r>
    <r>
      <rPr>
        <sz val="8"/>
        <color rgb="FF000000"/>
        <rFont val="Meiryo"/>
        <family val="0"/>
        <charset val="1"/>
      </rPr>
      <t xml:space="preserve">4-1.</t>
    </r>
    <r>
      <rPr>
        <sz val="8"/>
        <color rgb="FF000000"/>
        <rFont val="WenQuanYi Zen Hei"/>
        <family val="2"/>
      </rPr>
      <t xml:space="preserve">アプローチ想定作成物」（</t>
    </r>
    <r>
      <rPr>
        <sz val="8"/>
        <color rgb="FF000000"/>
        <rFont val="Meiryo"/>
        <family val="0"/>
        <charset val="1"/>
      </rPr>
      <t xml:space="preserve">P.39</t>
    </r>
    <r>
      <rPr>
        <sz val="8"/>
        <color rgb="FF000000"/>
        <rFont val="WenQuanYi Zen Hei"/>
        <family val="2"/>
      </rPr>
      <t xml:space="preserve">）には攻め系の成果物ボックスが</t>
    </r>
    <r>
      <rPr>
        <sz val="8"/>
        <color rgb="FF000000"/>
        <rFont val="Meiryo"/>
        <family val="0"/>
        <charset val="1"/>
      </rPr>
      <t xml:space="preserve">1</t>
    </r>
    <r>
      <rPr>
        <sz val="8"/>
        <color rgb="FF000000"/>
        <rFont val="WenQuanYi Zen Hei"/>
        <family val="2"/>
      </rPr>
      <t xml:space="preserve">つも存在しない。採点基準「</t>
    </r>
    <r>
      <rPr>
        <sz val="8"/>
        <color rgb="FF000000"/>
        <rFont val="Meiryo"/>
        <family val="0"/>
        <charset val="1"/>
      </rPr>
      <t xml:space="preserve">5</t>
    </r>
    <r>
      <rPr>
        <sz val="8"/>
        <color rgb="FF000000"/>
        <rFont val="WenQuanYi Zen Hei"/>
        <family val="2"/>
      </rPr>
      <t xml:space="preserve">つの難所を提案全体に反映しているか」に照らすと、理解の言明と提案全体の構造が一致していない裏付けなき主張（素点</t>
    </r>
    <r>
      <rPr>
        <sz val="8"/>
        <color rgb="FF000000"/>
        <rFont val="Meiryo"/>
        <family val="0"/>
        <charset val="1"/>
      </rPr>
      <t xml:space="preserve">3</t>
    </r>
    <r>
      <rPr>
        <sz val="8"/>
        <color rgb="FF000000"/>
        <rFont val="WenQuanYi Zen Hei"/>
        <family val="2"/>
      </rPr>
      <t xml:space="preserve">上限）に該当するため補正。★</t>
    </r>
    <r>
      <rPr>
        <sz val="8"/>
        <color rgb="FF000000"/>
        <rFont val="Meiryo"/>
        <family val="0"/>
        <charset val="1"/>
      </rPr>
      <t xml:space="preserve">B9</t>
    </r>
    <r>
      <rPr>
        <sz val="8"/>
        <color rgb="FF000000"/>
        <rFont val="WenQuanYi Zen Hei"/>
        <family val="2"/>
      </rPr>
      <t xml:space="preserve">・★</t>
    </r>
    <r>
      <rPr>
        <sz val="8"/>
        <color rgb="FF000000"/>
        <rFont val="Meiryo"/>
        <family val="0"/>
        <charset val="1"/>
      </rPr>
      <t xml:space="preserve">B11</t>
    </r>
    <r>
      <rPr>
        <sz val="8"/>
        <color rgb="FF000000"/>
        <rFont val="WenQuanYi Zen Hei"/>
        <family val="2"/>
      </rPr>
      <t xml:space="preserve">で解消要。</t>
    </r>
  </si>
  <si>
    <r>
      <rPr>
        <sz val="8"/>
        <color rgb="FF000000"/>
        <rFont val="WenQuanYi Zen Hei"/>
        <family val="2"/>
      </rPr>
      <t xml:space="preserve">「戦略確定を待てない環境でのアジャイル型要件定義」「</t>
    </r>
    <r>
      <rPr>
        <sz val="8"/>
        <color rgb="FF000000"/>
        <rFont val="Meiryo"/>
        <family val="0"/>
        <charset val="1"/>
      </rPr>
      <t xml:space="preserve">2028</t>
    </r>
    <r>
      <rPr>
        <sz val="8"/>
        <color rgb="FF000000"/>
        <rFont val="WenQuanYi Zen Hei"/>
        <family val="2"/>
      </rPr>
      <t xml:space="preserve">年</t>
    </r>
    <r>
      <rPr>
        <sz val="8"/>
        <color rgb="FF000000"/>
        <rFont val="Meiryo"/>
        <family val="0"/>
        <charset val="1"/>
      </rPr>
      <t xml:space="preserve">1</t>
    </r>
    <r>
      <rPr>
        <sz val="8"/>
        <color rgb="FF000000"/>
        <rFont val="WenQuanYi Zen Hei"/>
        <family val="2"/>
      </rPr>
      <t xml:space="preserve">月本番収集からの逆算」と特殊前提を明文化。</t>
    </r>
    <r>
      <rPr>
        <sz val="8"/>
        <color rgb="FF000000"/>
        <rFont val="Meiryo"/>
        <family val="0"/>
        <charset val="1"/>
      </rPr>
      <t xml:space="preserve">Cat11</t>
    </r>
    <r>
      <rPr>
        <sz val="8"/>
        <color rgb="FF000000"/>
        <rFont val="WenQuanYi Zen Hei"/>
        <family val="2"/>
      </rPr>
      <t xml:space="preserve">が主戦場・すすぎ回数等の使用条件シナリオまで貴社固有の事業構造を反映し、難所別に「落とし穴と回避策＋貴社の予防アクション」まで提示。想定超の理解度。</t>
    </r>
  </si>
  <si>
    <t xml:space="preserve">Q2</t>
  </si>
  <si>
    <t xml:space="preserve">アジャイル型要件定義の方法論</t>
  </si>
  <si>
    <r>
      <rPr>
        <sz val="8"/>
        <color rgb="FF000000"/>
        <rFont val="WenQuanYi Zen Hei"/>
        <family val="2"/>
      </rPr>
      <t xml:space="preserve">戦略変更時に「変えない骨格／作り直す部分」を切り分ける設計手順と</t>
    </r>
    <r>
      <rPr>
        <sz val="8"/>
        <color rgb="FF000000"/>
        <rFont val="Meiryo"/>
        <family val="0"/>
        <charset val="1"/>
      </rPr>
      <t xml:space="preserve">Fit&amp;Gap</t>
    </r>
    <r>
      <rPr>
        <sz val="8"/>
        <color rgb="FF000000"/>
        <rFont val="WenQuanYi Zen Hei"/>
        <family val="2"/>
      </rPr>
      <t xml:space="preserve">の進め方が具体的か</t>
    </r>
  </si>
  <si>
    <r>
      <rPr>
        <sz val="8"/>
        <color rgb="FF000000"/>
        <rFont val="WenQuanYi Zen Hei"/>
        <family val="2"/>
      </rPr>
      <t xml:space="preserve">「凍結要件／条件付き要件」の二分法と、条件付き要件の追加整理</t>
    </r>
    <r>
      <rPr>
        <sz val="8"/>
        <color rgb="FF000000"/>
        <rFont val="Meiryo"/>
        <family val="0"/>
        <charset val="1"/>
      </rPr>
      <t xml:space="preserve">5</t>
    </r>
    <r>
      <rPr>
        <sz val="8"/>
        <color rgb="FF000000"/>
        <rFont val="WenQuanYi Zen Hei"/>
        <family val="2"/>
      </rPr>
      <t xml:space="preserve">項目（基本案・想定シナリオ・変動範囲・決定者と期限・影響範囲）は手順として具体的。ただし本方法論の適用実績（社名・事例・数値）の裏付けがなく、ルール上素点</t>
    </r>
    <r>
      <rPr>
        <sz val="8"/>
        <color rgb="FF000000"/>
        <rFont val="Meiryo"/>
        <family val="0"/>
        <charset val="1"/>
      </rPr>
      <t xml:space="preserve">3</t>
    </r>
    <r>
      <rPr>
        <sz val="8"/>
        <color rgb="FF000000"/>
        <rFont val="WenQuanYi Zen Hei"/>
        <family val="2"/>
      </rPr>
      <t xml:space="preserve">が上限。質疑で適用事例を確認したい。</t>
    </r>
  </si>
  <si>
    <r>
      <rPr>
        <sz val="8"/>
        <color rgb="FF000000"/>
        <rFont val="WenQuanYi Zen Hei"/>
        <family val="2"/>
      </rPr>
      <t xml:space="preserve">検討事項・論点リスト（</t>
    </r>
    <r>
      <rPr>
        <sz val="8"/>
        <color rgb="FF000000"/>
        <rFont val="Meiryo"/>
        <family val="0"/>
        <charset val="1"/>
      </rPr>
      <t xml:space="preserve">9</t>
    </r>
    <r>
      <rPr>
        <sz val="8"/>
        <color rgb="FF000000"/>
        <rFont val="WenQuanYi Zen Hei"/>
        <family val="2"/>
      </rPr>
      <t xml:space="preserve">頁分）は網羅的だが、「変えない骨格／作り直す部分」を切り分ける設計手順や</t>
    </r>
    <r>
      <rPr>
        <sz val="8"/>
        <color rgb="FF000000"/>
        <rFont val="Meiryo"/>
        <family val="0"/>
        <charset val="1"/>
      </rPr>
      <t xml:space="preserve">Fit&amp;Gap</t>
    </r>
    <r>
      <rPr>
        <sz val="8"/>
        <color rgb="FF000000"/>
        <rFont val="WenQuanYi Zen Hei"/>
        <family val="2"/>
      </rPr>
      <t xml:space="preserve">の進め方の明示なし。ルール策定・ロジックは「貴社にて策定済み想定」と前提を置いており、戦略変更時の手戻り吸収の設計が提案上弱い。</t>
    </r>
  </si>
  <si>
    <r>
      <rPr>
        <sz val="8"/>
        <color rgb="FF000000"/>
        <rFont val="WenQuanYi Zen Hei"/>
        <family val="2"/>
      </rPr>
      <t xml:space="preserve">【</t>
    </r>
    <r>
      <rPr>
        <sz val="8"/>
        <color rgb="FF000000"/>
        <rFont val="Meiryo"/>
        <family val="0"/>
        <charset val="1"/>
      </rPr>
      <t xml:space="preserve">5→4</t>
    </r>
    <r>
      <rPr>
        <sz val="8"/>
        <color rgb="FF000000"/>
        <rFont val="WenQuanYi Zen Hei"/>
        <family val="2"/>
      </rPr>
      <t xml:space="preserve">に補正】「戦略依存</t>
    </r>
    <r>
      <rPr>
        <sz val="8"/>
        <color rgb="FF000000"/>
        <rFont val="Meiryo"/>
        <family val="0"/>
        <charset val="1"/>
      </rPr>
      <t xml:space="preserve">×Must/Should/Could</t>
    </r>
    <r>
      <rPr>
        <sz val="8"/>
        <color rgb="FF000000"/>
        <rFont val="WenQuanYi Zen Hei"/>
        <family val="2"/>
      </rPr>
      <t xml:space="preserve">」の</t>
    </r>
    <r>
      <rPr>
        <sz val="8"/>
        <color rgb="FF000000"/>
        <rFont val="Meiryo"/>
        <family val="0"/>
        <charset val="1"/>
      </rPr>
      <t xml:space="preserve">2</t>
    </r>
    <r>
      <rPr>
        <sz val="8"/>
        <color rgb="FF000000"/>
        <rFont val="WenQuanYi Zen Hei"/>
        <family val="2"/>
      </rPr>
      <t xml:space="preserve">軸</t>
    </r>
    <r>
      <rPr>
        <sz val="8"/>
        <color rgb="FF000000"/>
        <rFont val="Meiryo"/>
        <family val="0"/>
        <charset val="1"/>
      </rPr>
      <t xml:space="preserve">4</t>
    </r>
    <r>
      <rPr>
        <sz val="8"/>
        <color rgb="FF000000"/>
        <rFont val="WenQuanYi Zen Hei"/>
        <family val="2"/>
      </rPr>
      <t xml:space="preserve">象限で確定順序を設計し、変えない骨格（組織マスタ・証憑統制・</t>
    </r>
    <r>
      <rPr>
        <sz val="8"/>
        <color rgb="FF000000"/>
        <rFont val="Meiryo"/>
        <family val="0"/>
        <charset val="1"/>
      </rPr>
      <t xml:space="preserve">Scope1/2</t>
    </r>
    <r>
      <rPr>
        <sz val="8"/>
        <color rgb="FF000000"/>
        <rFont val="WenQuanYi Zen Hei"/>
        <family val="2"/>
      </rPr>
      <t xml:space="preserve">算定等）と「共通要件＋重要テーマ別シナリオ」の二層整理を具体的な機能レベルまで例示。時価総額</t>
    </r>
    <r>
      <rPr>
        <sz val="8"/>
        <color rgb="FF000000"/>
        <rFont val="Meiryo"/>
        <family val="0"/>
        <charset val="1"/>
      </rPr>
      <t xml:space="preserve">3</t>
    </r>
    <r>
      <rPr>
        <sz val="8"/>
        <color rgb="FF000000"/>
        <rFont val="WenQuanYi Zen Hei"/>
        <family val="2"/>
      </rPr>
      <t xml:space="preserve">兆・</t>
    </r>
    <r>
      <rPr>
        <sz val="8"/>
        <color rgb="FF000000"/>
        <rFont val="Meiryo"/>
        <family val="0"/>
        <charset val="1"/>
      </rPr>
      <t xml:space="preserve">1</t>
    </r>
    <r>
      <rPr>
        <sz val="8"/>
        <color rgb="FF000000"/>
        <rFont val="WenQuanYi Zen Hei"/>
        <family val="2"/>
      </rPr>
      <t xml:space="preserve">兆円企業で開示・保証要件未確定下の適用実績を裏付けとして提示。一方、難所①（ルール策定）について、業務要件検討の前提としては「事前に</t>
    </r>
    <r>
      <rPr>
        <sz val="8"/>
        <color rgb="FF000000"/>
        <rFont val="Meiryo"/>
        <family val="0"/>
        <charset val="1"/>
      </rPr>
      <t xml:space="preserve">LION</t>
    </r>
    <r>
      <rPr>
        <sz val="8"/>
        <color rgb="FF000000"/>
        <rFont val="WenQuanYi Zen Hei"/>
        <family val="2"/>
      </rPr>
      <t xml:space="preserve">様にて策定済みと想定」（</t>
    </r>
    <r>
      <rPr>
        <sz val="8"/>
        <color rgb="FF000000"/>
        <rFont val="Meiryo"/>
        <family val="0"/>
        <charset val="1"/>
      </rPr>
      <t xml:space="preserve">P.28</t>
    </r>
    <r>
      <rPr>
        <sz val="8"/>
        <color rgb="FF000000"/>
        <rFont val="WenQuanYi Zen Hei"/>
        <family val="2"/>
      </rPr>
      <t xml:space="preserve">）とする記述と、出口設計（</t>
    </r>
    <r>
      <rPr>
        <sz val="8"/>
        <color rgb="FF000000"/>
        <rFont val="Meiryo"/>
        <family val="0"/>
        <charset val="1"/>
      </rPr>
      <t xml:space="preserve">#2</t>
    </r>
    <r>
      <rPr>
        <sz val="8"/>
        <color rgb="FF000000"/>
        <rFont val="WenQuanYi Zen Hei"/>
        <family val="2"/>
      </rPr>
      <t xml:space="preserve">）で</t>
    </r>
    <r>
      <rPr>
        <sz val="8"/>
        <color rgb="FF000000"/>
        <rFont val="Meiryo"/>
        <family val="0"/>
        <charset val="1"/>
      </rPr>
      <t xml:space="preserve">6</t>
    </r>
    <r>
      <rPr>
        <sz val="8"/>
        <color rgb="FF000000"/>
        <rFont val="WenQuanYi Zen Hei"/>
        <family val="2"/>
      </rPr>
      <t xml:space="preserve">象限方法論により線引き合意を最上流に設計する（</t>
    </r>
    <r>
      <rPr>
        <sz val="8"/>
        <color rgb="FF000000"/>
        <rFont val="Meiryo"/>
        <family val="0"/>
        <charset val="1"/>
      </rPr>
      <t xml:space="preserve">P.26</t>
    </r>
    <r>
      <rPr>
        <sz val="8"/>
        <color rgb="FF000000"/>
        <rFont val="WenQuanYi Zen Hei"/>
        <family val="2"/>
      </rPr>
      <t xml:space="preserve">）という記述が併存し、方法論を能動的に適用する範囲が確定していない。素点</t>
    </r>
    <r>
      <rPr>
        <sz val="8"/>
        <color rgb="FF000000"/>
        <rFont val="Meiryo"/>
        <family val="0"/>
        <charset val="1"/>
      </rPr>
      <t xml:space="preserve">5</t>
    </r>
    <r>
      <rPr>
        <sz val="8"/>
        <color rgb="FF000000"/>
        <rFont val="WenQuanYi Zen Hei"/>
        <family val="2"/>
      </rPr>
      <t xml:space="preserve">の要件「裏付けが完全」に届かないため、採点ルール「素点に迷ったら低い方を付け」に従い補正。★</t>
    </r>
    <r>
      <rPr>
        <sz val="8"/>
        <color rgb="FF000000"/>
        <rFont val="Meiryo"/>
        <family val="0"/>
        <charset val="1"/>
      </rPr>
      <t xml:space="preserve">C9</t>
    </r>
    <r>
      <rPr>
        <sz val="8"/>
        <color rgb="FF000000"/>
        <rFont val="WenQuanYi Zen Hei"/>
        <family val="2"/>
      </rPr>
      <t xml:space="preserve">で解消要。</t>
    </r>
  </si>
  <si>
    <t xml:space="preserve">Q3</t>
  </si>
  <si>
    <t xml:space="preserve">守りの設計力（統制・証跡・自動化）</t>
  </si>
  <si>
    <t xml:space="preserve">証憑紐付け・多段階承認・変更履歴保全を機能要件へ落とす道筋と、手作業根絶のプロセス設計が具体的か</t>
  </si>
  <si>
    <t xml:space="preserve">証憑紐付け要件定義・版管理・変更管理方針書等、成果物への道筋は示されるが記載は一般論の域。手作業根絶のプロセス設計の具体度と実績の裏付けが薄い。加えて、独立したシステム構成図・アーキテクチャの成果物が成果物一覧に存在せず（成果物カバレッジ比較で確認）、統制のシステム実装面の検証手段も薄い。</t>
  </si>
  <si>
    <r>
      <rPr>
        <sz val="8"/>
        <color rgb="FF000000"/>
        <rFont val="WenQuanYi Zen Hei"/>
        <family val="2"/>
      </rPr>
      <t xml:space="preserve">統制要素</t>
    </r>
    <r>
      <rPr>
        <sz val="8"/>
        <color rgb="FF000000"/>
        <rFont val="Meiryo"/>
        <family val="0"/>
        <charset val="1"/>
      </rPr>
      <t xml:space="preserve">×</t>
    </r>
    <r>
      <rPr>
        <sz val="8"/>
        <color rgb="FF000000"/>
        <rFont val="WenQuanYi Zen Hei"/>
        <family val="2"/>
      </rPr>
      <t xml:space="preserve">確認領域のマトリクス、「人による確認・判断」と「システムによる保持・追跡」の分担、請求書按分・単位変換・例外処理の証跡定義まで、機能要件へ落とす道筋が</t>
    </r>
    <r>
      <rPr>
        <sz val="8"/>
        <color rgb="FF000000"/>
        <rFont val="Meiryo"/>
        <family val="0"/>
        <charset val="1"/>
      </rPr>
      <t xml:space="preserve">3</t>
    </r>
    <r>
      <rPr>
        <sz val="8"/>
        <color rgb="FF000000"/>
        <rFont val="WenQuanYi Zen Hei"/>
        <family val="2"/>
      </rPr>
      <t xml:space="preserve">社中最も具体的。監査法人（</t>
    </r>
    <r>
      <rPr>
        <sz val="8"/>
        <color rgb="FF000000"/>
        <rFont val="Meiryo"/>
        <family val="0"/>
        <charset val="1"/>
      </rPr>
      <t xml:space="preserve">PwC</t>
    </r>
    <r>
      <rPr>
        <sz val="8"/>
        <color rgb="FF000000"/>
        <rFont val="WenQuanYi Zen Hei"/>
        <family val="2"/>
      </rPr>
      <t xml:space="preserve">あらた）との連携体制と全世界</t>
    </r>
    <r>
      <rPr>
        <sz val="8"/>
        <color rgb="FF000000"/>
        <rFont val="Meiryo"/>
        <family val="0"/>
        <charset val="1"/>
      </rPr>
      <t xml:space="preserve">500</t>
    </r>
    <r>
      <rPr>
        <sz val="8"/>
        <color rgb="FF000000"/>
        <rFont val="WenQuanYi Zen Hei"/>
        <family val="2"/>
      </rPr>
      <t xml:space="preserve">拠点の統制構築実績が裏付け。ただし「アプローチ想定作成物」（</t>
    </r>
    <r>
      <rPr>
        <sz val="8"/>
        <color rgb="FF000000"/>
        <rFont val="Meiryo"/>
        <family val="0"/>
        <charset val="1"/>
      </rPr>
      <t xml:space="preserve">P.39</t>
    </r>
    <r>
      <rPr>
        <sz val="8"/>
        <color rgb="FF000000"/>
        <rFont val="WenQuanYi Zen Hei"/>
        <family val="2"/>
      </rPr>
      <t xml:space="preserve">）は攻めに全く触れず守り一色であり、守りの深さが提案全体の構造的な偏りの上に立っていることは留意（</t>
    </r>
    <r>
      <rPr>
        <sz val="8"/>
        <color rgb="FF000000"/>
        <rFont val="Meiryo"/>
        <family val="0"/>
        <charset val="1"/>
      </rPr>
      <t xml:space="preserve">Q1</t>
    </r>
    <r>
      <rPr>
        <sz val="8"/>
        <color rgb="FF000000"/>
        <rFont val="WenQuanYi Zen Hei"/>
        <family val="2"/>
      </rPr>
      <t xml:space="preserve">参照）。</t>
    </r>
  </si>
  <si>
    <r>
      <rPr>
        <sz val="8"/>
        <color rgb="FF000000"/>
        <rFont val="WenQuanYi Zen Hei"/>
        <family val="2"/>
      </rPr>
      <t xml:space="preserve">公認会計士（元大手監査法人パートナー・保証</t>
    </r>
    <r>
      <rPr>
        <sz val="8"/>
        <color rgb="FF000000"/>
        <rFont val="Meiryo"/>
        <family val="0"/>
        <charset val="1"/>
      </rPr>
      <t xml:space="preserve">15</t>
    </r>
    <r>
      <rPr>
        <sz val="8"/>
        <color rgb="FF000000"/>
        <rFont val="WenQuanYi Zen Hei"/>
        <family val="2"/>
      </rPr>
      <t xml:space="preserve">年）を体制に配置し、キーコントロール定義・非財務決算プロセス統制・保証人指摘対応を実際の作成物レベルで提示。「過剰にしない統制」の設計思想と保証人の早期巻き込みによる「後出し</t>
    </r>
    <r>
      <rPr>
        <sz val="8"/>
        <color rgb="FF000000"/>
        <rFont val="Meiryo"/>
        <family val="0"/>
        <charset val="1"/>
      </rPr>
      <t xml:space="preserve">NG</t>
    </r>
    <r>
      <rPr>
        <sz val="8"/>
        <color rgb="FF000000"/>
        <rFont val="WenQuanYi Zen Hei"/>
        <family val="2"/>
      </rPr>
      <t xml:space="preserve">」予防まで具体的。方法論の具体性自体は高いが、その成果物（内部統制設計方針書</t>
    </r>
    <r>
      <rPr>
        <sz val="8"/>
        <color rgb="FF000000"/>
        <rFont val="Meiryo"/>
        <family val="0"/>
        <charset val="1"/>
      </rPr>
      <t xml:space="preserve">#12</t>
    </r>
    <r>
      <rPr>
        <sz val="8"/>
        <color rgb="FF000000"/>
        <rFont val="WenQuanYi Zen Hei"/>
        <family val="2"/>
      </rPr>
      <t xml:space="preserve">）は基本スコープでなくオプション</t>
    </r>
    <r>
      <rPr>
        <sz val="8"/>
        <color rgb="FF000000"/>
        <rFont val="Meiryo"/>
        <family val="0"/>
        <charset val="1"/>
      </rPr>
      <t xml:space="preserve">B</t>
    </r>
    <r>
      <rPr>
        <sz val="8"/>
        <color rgb="FF000000"/>
        <rFont val="WenQuanYi Zen Hei"/>
        <family val="2"/>
      </rPr>
      <t xml:space="preserve">に切り出されている点は</t>
    </r>
    <r>
      <rPr>
        <sz val="8"/>
        <color rgb="FF000000"/>
        <rFont val="Meiryo"/>
        <family val="0"/>
        <charset val="1"/>
      </rPr>
      <t xml:space="preserve">C1/D2</t>
    </r>
    <r>
      <rPr>
        <sz val="8"/>
        <color rgb="FF000000"/>
        <rFont val="WenQuanYi Zen Hei"/>
        <family val="2"/>
      </rPr>
      <t xml:space="preserve">側で評価（★</t>
    </r>
    <r>
      <rPr>
        <sz val="8"/>
        <color rgb="FF000000"/>
        <rFont val="Meiryo"/>
        <family val="0"/>
        <charset val="1"/>
      </rPr>
      <t xml:space="preserve">C10</t>
    </r>
    <r>
      <rPr>
        <sz val="8"/>
        <color rgb="FF000000"/>
        <rFont val="WenQuanYi Zen Hei"/>
        <family val="2"/>
      </rPr>
      <t xml:space="preserve">で解消要）。</t>
    </r>
  </si>
  <si>
    <t xml:space="preserve">Q4</t>
  </si>
  <si>
    <t xml:space="preserve">攻めの設計力（非財務の財務化）</t>
  </si>
  <si>
    <r>
      <rPr>
        <sz val="8"/>
        <color rgb="FF000000"/>
        <rFont val="Meiryo"/>
        <family val="0"/>
        <charset val="1"/>
      </rPr>
      <t xml:space="preserve">Scope3</t>
    </r>
    <r>
      <rPr>
        <sz val="8"/>
        <color rgb="FF000000"/>
        <rFont val="WenQuanYi Zen Hei"/>
        <family val="2"/>
      </rPr>
      <t xml:space="preserve">一次データ化・</t>
    </r>
    <r>
      <rPr>
        <sz val="8"/>
        <color rgb="FF000000"/>
        <rFont val="Meiryo"/>
        <family val="0"/>
        <charset val="1"/>
      </rPr>
      <t xml:space="preserve">CFP</t>
    </r>
    <r>
      <rPr>
        <sz val="8"/>
        <color rgb="FF000000"/>
        <rFont val="WenQuanYi Zen Hei"/>
        <family val="2"/>
      </rPr>
      <t xml:space="preserve">即応・</t>
    </r>
    <r>
      <rPr>
        <sz val="8"/>
        <color rgb="FF000000"/>
        <rFont val="Meiryo"/>
        <family val="0"/>
        <charset val="1"/>
      </rPr>
      <t xml:space="preserve">AI</t>
    </r>
    <r>
      <rPr>
        <sz val="8"/>
        <color rgb="FF000000"/>
        <rFont val="WenQuanYi Zen Hei"/>
        <family val="2"/>
      </rPr>
      <t xml:space="preserve">将来予測を</t>
    </r>
    <r>
      <rPr>
        <sz val="8"/>
        <color rgb="FF000000"/>
        <rFont val="Meiryo"/>
        <family val="0"/>
        <charset val="1"/>
      </rPr>
      <t xml:space="preserve">PBR</t>
    </r>
    <r>
      <rPr>
        <sz val="8"/>
        <color rgb="FF000000"/>
        <rFont val="WenQuanYi Zen Hei"/>
        <family val="2"/>
      </rPr>
      <t xml:space="preserve">向上・受注拡大へ接続する定量ストーリーがあるか</t>
    </r>
  </si>
  <si>
    <r>
      <rPr>
        <sz val="8"/>
        <color rgb="FF000000"/>
        <rFont val="WenQuanYi Zen Hei"/>
        <family val="2"/>
      </rPr>
      <t xml:space="preserve">可視化・活用の初期仮説（意思決定起点の</t>
    </r>
    <r>
      <rPr>
        <sz val="8"/>
        <color rgb="FF000000"/>
        <rFont val="Meiryo"/>
        <family val="0"/>
        <charset val="1"/>
      </rPr>
      <t xml:space="preserve">KPI</t>
    </r>
    <r>
      <rPr>
        <sz val="8"/>
        <color rgb="FF000000"/>
        <rFont val="WenQuanYi Zen Hei"/>
        <family val="2"/>
      </rPr>
      <t xml:space="preserve">設計・多目的出力）はあるが、</t>
    </r>
    <r>
      <rPr>
        <sz val="8"/>
        <color rgb="FF000000"/>
        <rFont val="Meiryo"/>
        <family val="0"/>
        <charset val="1"/>
      </rPr>
      <t xml:space="preserve">PBR</t>
    </r>
    <r>
      <rPr>
        <sz val="8"/>
        <color rgb="FF000000"/>
        <rFont val="WenQuanYi Zen Hei"/>
        <family val="2"/>
      </rPr>
      <t xml:space="preserve">向上・受注拡大へ接続する定量ストーリーはなし。一般論の範囲。</t>
    </r>
  </si>
  <si>
    <r>
      <rPr>
        <sz val="8"/>
        <color rgb="FF000000"/>
        <rFont val="Meiryo"/>
        <family val="0"/>
        <charset val="1"/>
      </rPr>
      <t xml:space="preserve">Step1</t>
    </r>
    <r>
      <rPr>
        <sz val="8"/>
        <color rgb="FF000000"/>
        <rFont val="WenQuanYi Zen Hei"/>
        <family val="2"/>
      </rPr>
      <t xml:space="preserve">〜</t>
    </r>
    <r>
      <rPr>
        <sz val="8"/>
        <color rgb="FF000000"/>
        <rFont val="Meiryo"/>
        <family val="0"/>
        <charset val="1"/>
      </rPr>
      <t xml:space="preserve">3</t>
    </r>
    <r>
      <rPr>
        <sz val="8"/>
        <color rgb="FF000000"/>
        <rFont val="WenQuanYi Zen Hei"/>
        <family val="2"/>
      </rPr>
      <t xml:space="preserve">の企業価値向上ステップに加え、残余利益モデルによる非財務属性</t>
    </r>
    <r>
      <rPr>
        <sz val="8"/>
        <color rgb="FF000000"/>
        <rFont val="Meiryo"/>
        <family val="0"/>
        <charset val="1"/>
      </rPr>
      <t xml:space="preserve">×</t>
    </r>
    <r>
      <rPr>
        <sz val="8"/>
        <color rgb="FF000000"/>
        <rFont val="WenQuanYi Zen Hei"/>
        <family val="2"/>
      </rPr>
      <t xml:space="preserve">資本コスト・理論株価の定量分析方法論（</t>
    </r>
    <r>
      <rPr>
        <sz val="8"/>
        <color rgb="FF000000"/>
        <rFont val="Meiryo"/>
        <family val="0"/>
        <charset val="1"/>
      </rPr>
      <t xml:space="preserve">Appendix</t>
    </r>
    <r>
      <rPr>
        <sz val="8"/>
        <color rgb="FF000000"/>
        <rFont val="WenQuanYi Zen Hei"/>
        <family val="2"/>
      </rPr>
      <t xml:space="preserve">）は独自性あり。ただし将来予測・サプライヤー連携（</t>
    </r>
    <r>
      <rPr>
        <sz val="8"/>
        <color rgb="FF000000"/>
        <rFont val="Meiryo"/>
        <family val="0"/>
        <charset val="1"/>
      </rPr>
      <t xml:space="preserve">Scope3</t>
    </r>
    <r>
      <rPr>
        <sz val="8"/>
        <color rgb="FF000000"/>
        <rFont val="WenQuanYi Zen Hei"/>
        <family val="2"/>
      </rPr>
      <t xml:space="preserve">一次データ化）を「</t>
    </r>
    <r>
      <rPr>
        <sz val="8"/>
        <color rgb="FF000000"/>
        <rFont val="Meiryo"/>
        <family val="0"/>
        <charset val="1"/>
      </rPr>
      <t xml:space="preserve">Step2</t>
    </r>
    <r>
      <rPr>
        <sz val="8"/>
        <color rgb="FF000000"/>
        <rFont val="WenQuanYi Zen Hei"/>
        <family val="2"/>
      </rPr>
      <t xml:space="preserve">以降」とし、本フェーズの要件化からは外している。</t>
    </r>
  </si>
  <si>
    <r>
      <rPr>
        <sz val="8"/>
        <color rgb="FF000000"/>
        <rFont val="WenQuanYi Zen Hei"/>
        <family val="2"/>
      </rPr>
      <t xml:space="preserve">攻めユースケース</t>
    </r>
    <r>
      <rPr>
        <sz val="8"/>
        <color rgb="FF000000"/>
        <rFont val="Meiryo"/>
        <family val="0"/>
        <charset val="1"/>
      </rPr>
      <t xml:space="preserve">6</t>
    </r>
    <r>
      <rPr>
        <sz val="8"/>
        <color rgb="FF000000"/>
        <rFont val="WenQuanYi Zen Hei"/>
        <family val="2"/>
      </rPr>
      <t xml:space="preserve">件を効果</t>
    </r>
    <r>
      <rPr>
        <sz val="8"/>
        <color rgb="FF000000"/>
        <rFont val="Meiryo"/>
        <family val="0"/>
        <charset val="1"/>
      </rPr>
      <t xml:space="preserve">×</t>
    </r>
    <r>
      <rPr>
        <sz val="8"/>
        <color rgb="FF000000"/>
        <rFont val="WenQuanYi Zen Hei"/>
        <family val="2"/>
      </rPr>
      <t xml:space="preserve">実現性で事前評価（</t>
    </r>
    <r>
      <rPr>
        <sz val="8"/>
        <color rgb="FF000000"/>
        <rFont val="Meiryo"/>
        <family val="0"/>
        <charset val="1"/>
      </rPr>
      <t xml:space="preserve">CFP</t>
    </r>
    <r>
      <rPr>
        <sz val="8"/>
        <color rgb="FF000000"/>
        <rFont val="WenQuanYi Zen Hei"/>
        <family val="2"/>
      </rPr>
      <t xml:space="preserve">即応＝受注シェア直結、削減貢献量＝</t>
    </r>
    <r>
      <rPr>
        <sz val="8"/>
        <color rgb="FF000000"/>
        <rFont val="Meiryo"/>
        <family val="0"/>
        <charset val="1"/>
      </rPr>
      <t xml:space="preserve">Cat11</t>
    </r>
    <r>
      <rPr>
        <sz val="8"/>
        <color rgb="FF000000"/>
        <rFont val="WenQuanYi Zen Hei"/>
        <family val="2"/>
      </rPr>
      <t xml:space="preserve">の価値訴求・</t>
    </r>
    <r>
      <rPr>
        <sz val="8"/>
        <color rgb="FF000000"/>
        <rFont val="Meiryo"/>
        <family val="0"/>
        <charset val="1"/>
      </rPr>
      <t xml:space="preserve">IR</t>
    </r>
    <r>
      <rPr>
        <sz val="8"/>
        <color rgb="FF000000"/>
        <rFont val="WenQuanYi Zen Hei"/>
        <family val="2"/>
      </rPr>
      <t xml:space="preserve">直結等）し、</t>
    </r>
    <r>
      <rPr>
        <sz val="8"/>
        <color rgb="FF000000"/>
        <rFont val="Meiryo"/>
        <family val="0"/>
        <charset val="1"/>
      </rPr>
      <t xml:space="preserve">2</t>
    </r>
    <r>
      <rPr>
        <sz val="8"/>
        <color rgb="FF000000"/>
        <rFont val="WenQuanYi Zen Hei"/>
        <family val="2"/>
      </rPr>
      <t xml:space="preserve">〜</t>
    </r>
    <r>
      <rPr>
        <sz val="8"/>
        <color rgb="FF000000"/>
        <rFont val="Meiryo"/>
        <family val="0"/>
        <charset val="1"/>
      </rPr>
      <t xml:space="preserve">3</t>
    </r>
    <r>
      <rPr>
        <sz val="8"/>
        <color rgb="FF000000"/>
        <rFont val="WenQuanYi Zen Hei"/>
        <family val="2"/>
      </rPr>
      <t xml:space="preserve">件への絞り込みと基盤要件化までをスコープに内蔵。</t>
    </r>
    <r>
      <rPr>
        <sz val="8"/>
        <color rgb="FF000000"/>
        <rFont val="Meiryo"/>
        <family val="0"/>
        <charset val="1"/>
      </rPr>
      <t xml:space="preserve">Digital ESG</t>
    </r>
    <r>
      <rPr>
        <sz val="8"/>
        <color rgb="FF000000"/>
        <rFont val="WenQuanYi Zen Hei"/>
        <family val="2"/>
      </rPr>
      <t xml:space="preserve">方法論（非財務資本投下</t>
    </r>
    <r>
      <rPr>
        <sz val="8"/>
        <color rgb="FF000000"/>
        <rFont val="Meiryo"/>
        <family val="0"/>
        <charset val="1"/>
      </rPr>
      <t xml:space="preserve">×</t>
    </r>
    <r>
      <rPr>
        <sz val="8"/>
        <color rgb="FF000000"/>
        <rFont val="WenQuanYi Zen Hei"/>
        <family val="2"/>
      </rPr>
      <t xml:space="preserve">企業価値の関係分析）を鉄道・不動産・通信・建設等で適用した実績。定量成果の実例までは未提示のため</t>
    </r>
    <r>
      <rPr>
        <sz val="8"/>
        <color rgb="FF000000"/>
        <rFont val="Meiryo"/>
        <family val="0"/>
        <charset val="1"/>
      </rPr>
      <t xml:space="preserve">4</t>
    </r>
    <r>
      <rPr>
        <sz val="8"/>
        <color rgb="FF000000"/>
        <rFont val="WenQuanYi Zen Hei"/>
        <family val="2"/>
      </rPr>
      <t xml:space="preserve">。</t>
    </r>
  </si>
  <si>
    <t xml:space="preserve">Q5</t>
  </si>
  <si>
    <r>
      <rPr>
        <b val="true"/>
        <sz val="9"/>
        <color rgb="FF000000"/>
        <rFont val="WenQuanYi Zen Hei"/>
        <family val="2"/>
      </rPr>
      <t xml:space="preserve">実績・知見（</t>
    </r>
    <r>
      <rPr>
        <b val="true"/>
        <sz val="9"/>
        <color rgb="FF000000"/>
        <rFont val="Meiryo"/>
        <family val="0"/>
        <charset val="1"/>
      </rPr>
      <t xml:space="preserve">SSBJ</t>
    </r>
    <r>
      <rPr>
        <b val="true"/>
        <sz val="9"/>
        <color rgb="FF000000"/>
        <rFont val="WenQuanYi Zen Hei"/>
        <family val="2"/>
      </rPr>
      <t xml:space="preserve">／保証／類似基盤）</t>
    </r>
  </si>
  <si>
    <r>
      <rPr>
        <sz val="8"/>
        <color rgb="FF000000"/>
        <rFont val="WenQuanYi Zen Hei"/>
        <family val="2"/>
      </rPr>
      <t xml:space="preserve">類似案件の実績を「社名・時期・自社の役割・定量成果」の</t>
    </r>
    <r>
      <rPr>
        <sz val="8"/>
        <color rgb="FF000000"/>
        <rFont val="Meiryo"/>
        <family val="0"/>
        <charset val="1"/>
      </rPr>
      <t xml:space="preserve">4</t>
    </r>
    <r>
      <rPr>
        <sz val="8"/>
        <color rgb="FF000000"/>
        <rFont val="WenQuanYi Zen Hei"/>
        <family val="2"/>
      </rPr>
      <t xml:space="preserve">点セットで示し、失敗と回避策を語れるか</t>
    </r>
  </si>
  <si>
    <r>
      <rPr>
        <sz val="8"/>
        <color rgb="FF000000"/>
        <rFont val="WenQuanYi Zen Hei"/>
        <family val="2"/>
      </rPr>
      <t xml:space="preserve">会社としての</t>
    </r>
    <r>
      <rPr>
        <sz val="8"/>
        <color rgb="FF000000"/>
        <rFont val="Meiryo"/>
        <family val="0"/>
        <charset val="1"/>
      </rPr>
      <t xml:space="preserve">SSBJ</t>
    </r>
    <r>
      <rPr>
        <sz val="8"/>
        <color rgb="FF000000"/>
        <rFont val="WenQuanYi Zen Hei"/>
        <family val="2"/>
      </rPr>
      <t xml:space="preserve">／保証／類似基盤の実績が「社名・時期・役割・定量成果」の</t>
    </r>
    <r>
      <rPr>
        <sz val="8"/>
        <color rgb="FF000000"/>
        <rFont val="Meiryo"/>
        <family val="0"/>
        <charset val="1"/>
      </rPr>
      <t xml:space="preserve">4</t>
    </r>
    <r>
      <rPr>
        <sz val="8"/>
        <color rgb="FF000000"/>
        <rFont val="WenQuanYi Zen Hei"/>
        <family val="2"/>
      </rPr>
      <t xml:space="preserve">点セットで示されず、個人経歴（官公庁の要件定義・ベンダー選定等）への依存。</t>
    </r>
    <r>
      <rPr>
        <sz val="8"/>
        <color rgb="FF000000"/>
        <rFont val="Meiryo"/>
        <family val="0"/>
        <charset val="1"/>
      </rPr>
      <t xml:space="preserve">SSBJ</t>
    </r>
    <r>
      <rPr>
        <sz val="8"/>
        <color rgb="FF000000"/>
        <rFont val="WenQuanYi Zen Hei"/>
        <family val="2"/>
      </rPr>
      <t xml:space="preserve">固有の会社実績が書面で確認できない。</t>
    </r>
  </si>
  <si>
    <r>
      <rPr>
        <sz val="8"/>
        <color rgb="FF000000"/>
        <rFont val="Meiryo"/>
        <family val="0"/>
        <charset val="1"/>
      </rPr>
      <t xml:space="preserve">Net Zero Cloud</t>
    </r>
    <r>
      <rPr>
        <sz val="8"/>
        <color rgb="FF000000"/>
        <rFont val="WenQuanYi Zen Hei"/>
        <family val="2"/>
      </rPr>
      <t xml:space="preserve">／</t>
    </r>
    <r>
      <rPr>
        <sz val="8"/>
        <color rgb="FF000000"/>
        <rFont val="Meiryo"/>
        <family val="0"/>
        <charset val="1"/>
      </rPr>
      <t xml:space="preserve">Workiva</t>
    </r>
    <r>
      <rPr>
        <sz val="8"/>
        <color rgb="FF000000"/>
        <rFont val="WenQuanYi Zen Hei"/>
        <family val="2"/>
      </rPr>
      <t xml:space="preserve">等の導入実績多数。全世界</t>
    </r>
    <r>
      <rPr>
        <sz val="8"/>
        <color rgb="FF000000"/>
        <rFont val="Meiryo"/>
        <family val="0"/>
        <charset val="1"/>
      </rPr>
      <t xml:space="preserve">500</t>
    </r>
    <r>
      <rPr>
        <sz val="8"/>
        <color rgb="FF000000"/>
        <rFont val="WenQuanYi Zen Hei"/>
        <family val="2"/>
      </rPr>
      <t xml:space="preserve">拠点・国内サプライヤー</t>
    </r>
    <r>
      <rPr>
        <sz val="8"/>
        <color rgb="FF000000"/>
        <rFont val="Meiryo"/>
        <family val="0"/>
        <charset val="1"/>
      </rPr>
      <t xml:space="preserve">300</t>
    </r>
    <r>
      <rPr>
        <sz val="8"/>
        <color rgb="FF000000"/>
        <rFont val="WenQuanYi Zen Hei"/>
        <family val="2"/>
      </rPr>
      <t xml:space="preserve">社・</t>
    </r>
    <r>
      <rPr>
        <sz val="8"/>
        <color rgb="FF000000"/>
        <rFont val="Meiryo"/>
        <family val="0"/>
        <charset val="1"/>
      </rPr>
      <t xml:space="preserve">700</t>
    </r>
    <r>
      <rPr>
        <sz val="8"/>
        <color rgb="FF000000"/>
        <rFont val="WenQuanYi Zen Hei"/>
        <family val="2"/>
      </rPr>
      <t xml:space="preserve">拠点等の定量規模、公表事例（日経</t>
    </r>
    <r>
      <rPr>
        <sz val="8"/>
        <color rgb="FF000000"/>
        <rFont val="Meiryo"/>
        <family val="0"/>
        <charset val="1"/>
      </rPr>
      <t xml:space="preserve">BP</t>
    </r>
    <r>
      <rPr>
        <sz val="8"/>
        <color rgb="FF000000"/>
        <rFont val="WenQuanYi Zen Hei"/>
        <family val="2"/>
      </rPr>
      <t xml:space="preserve">記事）、</t>
    </r>
    <r>
      <rPr>
        <sz val="8"/>
        <color rgb="FF000000"/>
        <rFont val="Meiryo"/>
        <family val="0"/>
        <charset val="1"/>
      </rPr>
      <t xml:space="preserve">Net Zero Cloud Partner of the Year</t>
    </r>
    <r>
      <rPr>
        <sz val="8"/>
        <color rgb="FF000000"/>
        <rFont val="WenQuanYi Zen Hei"/>
        <family val="2"/>
      </rPr>
      <t xml:space="preserve">受賞。ただし多くが業種表記（社名非開示）で時期の明示も乏しく、</t>
    </r>
    <r>
      <rPr>
        <sz val="8"/>
        <color rgb="FF000000"/>
        <rFont val="Meiryo"/>
        <family val="0"/>
        <charset val="1"/>
      </rPr>
      <t xml:space="preserve">4</t>
    </r>
    <r>
      <rPr>
        <sz val="8"/>
        <color rgb="FF000000"/>
        <rFont val="WenQuanYi Zen Hei"/>
        <family val="2"/>
      </rPr>
      <t xml:space="preserve">点セットとしては不完全。</t>
    </r>
  </si>
  <si>
    <r>
      <rPr>
        <sz val="8"/>
        <color rgb="FF000000"/>
        <rFont val="Meiryo"/>
        <family val="0"/>
        <charset val="1"/>
      </rPr>
      <t xml:space="preserve">SG</t>
    </r>
    <r>
      <rPr>
        <sz val="8"/>
        <color rgb="FF000000"/>
        <rFont val="WenQuanYi Zen Hei"/>
        <family val="2"/>
      </rPr>
      <t xml:space="preserve">ホールディングス（実名・</t>
    </r>
    <r>
      <rPr>
        <sz val="8"/>
        <color rgb="FF000000"/>
        <rFont val="Meiryo"/>
        <family val="0"/>
        <charset val="1"/>
      </rPr>
      <t xml:space="preserve">2026</t>
    </r>
    <r>
      <rPr>
        <sz val="8"/>
        <color rgb="FF000000"/>
        <rFont val="WenQuanYi Zen Hei"/>
        <family val="2"/>
      </rPr>
      <t xml:space="preserve">年</t>
    </r>
    <r>
      <rPr>
        <sz val="8"/>
        <color rgb="FF000000"/>
        <rFont val="Meiryo"/>
        <family val="0"/>
        <charset val="1"/>
      </rPr>
      <t xml:space="preserve">7</t>
    </r>
    <r>
      <rPr>
        <sz val="8"/>
        <color rgb="FF000000"/>
        <rFont val="WenQuanYi Zen Hei"/>
        <family val="2"/>
      </rPr>
      <t xml:space="preserve">月プレスリリース公表済み）、時価総額</t>
    </r>
    <r>
      <rPr>
        <sz val="8"/>
        <color rgb="FF000000"/>
        <rFont val="Meiryo"/>
        <family val="0"/>
        <charset val="1"/>
      </rPr>
      <t xml:space="preserve">3</t>
    </r>
    <r>
      <rPr>
        <sz val="8"/>
        <color rgb="FF000000"/>
        <rFont val="WenQuanYi Zen Hei"/>
        <family val="2"/>
      </rPr>
      <t xml:space="preserve">兆円企業への</t>
    </r>
    <r>
      <rPr>
        <sz val="8"/>
        <color rgb="FF000000"/>
        <rFont val="Meiryo"/>
        <family val="0"/>
        <charset val="1"/>
      </rPr>
      <t xml:space="preserve">SSBJ</t>
    </r>
    <r>
      <rPr>
        <sz val="8"/>
        <color rgb="FF000000"/>
        <rFont val="WenQuanYi Zen Hei"/>
        <family val="2"/>
      </rPr>
      <t xml:space="preserve">支援を明示。業界別事例に期間（</t>
    </r>
    <r>
      <rPr>
        <sz val="8"/>
        <color rgb="FF000000"/>
        <rFont val="Meiryo"/>
        <family val="0"/>
        <charset val="1"/>
      </rPr>
      <t xml:space="preserve">3</t>
    </r>
    <r>
      <rPr>
        <sz val="8"/>
        <color rgb="FF000000"/>
        <rFont val="WenQuanYi Zen Hei"/>
        <family val="2"/>
      </rPr>
      <t xml:space="preserve">／</t>
    </r>
    <r>
      <rPr>
        <sz val="8"/>
        <color rgb="FF000000"/>
        <rFont val="Meiryo"/>
        <family val="0"/>
        <charset val="1"/>
      </rPr>
      <t xml:space="preserve">5</t>
    </r>
    <r>
      <rPr>
        <sz val="8"/>
        <color rgb="FF000000"/>
        <rFont val="WenQuanYi Zen Hei"/>
        <family val="2"/>
      </rPr>
      <t xml:space="preserve">／</t>
    </r>
    <r>
      <rPr>
        <sz val="8"/>
        <color rgb="FF000000"/>
        <rFont val="Meiryo"/>
        <family val="0"/>
        <charset val="1"/>
      </rPr>
      <t xml:space="preserve">7</t>
    </r>
    <r>
      <rPr>
        <sz val="8"/>
        <color rgb="FF000000"/>
        <rFont val="WenQuanYi Zen Hei"/>
        <family val="2"/>
      </rPr>
      <t xml:space="preserve">ヶ月）と定量成果（</t>
    </r>
    <r>
      <rPr>
        <sz val="8"/>
        <color rgb="FF000000"/>
        <rFont val="Meiryo"/>
        <family val="0"/>
        <charset val="1"/>
      </rPr>
      <t xml:space="preserve">GRESB 3→4</t>
    </r>
    <r>
      <rPr>
        <sz val="8"/>
        <color rgb="FF000000"/>
        <rFont val="WenQuanYi Zen Hei"/>
        <family val="2"/>
      </rPr>
      <t xml:space="preserve">スター、</t>
    </r>
    <r>
      <rPr>
        <sz val="8"/>
        <color rgb="FF000000"/>
        <rFont val="Meiryo"/>
        <family val="0"/>
        <charset val="1"/>
      </rPr>
      <t xml:space="preserve">RFP4</t>
    </r>
    <r>
      <rPr>
        <sz val="8"/>
        <color rgb="FF000000"/>
        <rFont val="WenQuanYi Zen Hei"/>
        <family val="2"/>
      </rPr>
      <t xml:space="preserve">社発出→選定完了）を付し、難所別に「避けるべき参考事例（失敗）と回避策」を語っており、</t>
    </r>
    <r>
      <rPr>
        <sz val="8"/>
        <color rgb="FF000000"/>
        <rFont val="Meiryo"/>
        <family val="0"/>
        <charset val="1"/>
      </rPr>
      <t xml:space="preserve">4</t>
    </r>
    <r>
      <rPr>
        <sz val="8"/>
        <color rgb="FF000000"/>
        <rFont val="WenQuanYi Zen Hei"/>
        <family val="2"/>
      </rPr>
      <t xml:space="preserve">点セットに最も近い。</t>
    </r>
  </si>
  <si>
    <t xml:space="preserve">Q6</t>
  </si>
  <si>
    <t xml:space="preserve">投入メンバーの専門性（実名）</t>
  </si>
  <si>
    <t xml:space="preserve">実名・経歴・類似案件経験が提示され、従事予定者本人がコンペに出席し自らの言葉で語れるか</t>
  </si>
  <si>
    <r>
      <rPr>
        <sz val="8"/>
        <color rgb="FF000000"/>
        <rFont val="WenQuanYi Zen Hei"/>
        <family val="2"/>
      </rPr>
      <t xml:space="preserve">実名提示はあるが</t>
    </r>
    <r>
      <rPr>
        <sz val="8"/>
        <color rgb="FF000000"/>
        <rFont val="Meiryo"/>
        <family val="0"/>
        <charset val="1"/>
      </rPr>
      <t xml:space="preserve">PM</t>
    </r>
    <r>
      <rPr>
        <sz val="8"/>
        <color rgb="FF000000"/>
        <rFont val="WenQuanYi Zen Hei"/>
        <family val="2"/>
      </rPr>
      <t xml:space="preserve">「田村 </t>
    </r>
    <r>
      <rPr>
        <sz val="8"/>
        <color rgb="FF000000"/>
        <rFont val="Meiryo"/>
        <family val="0"/>
        <charset val="1"/>
      </rPr>
      <t xml:space="preserve">or </t>
    </r>
    <r>
      <rPr>
        <sz val="8"/>
        <color rgb="FF000000"/>
        <rFont val="WenQuanYi Zen Hei"/>
        <family val="2"/>
      </rPr>
      <t xml:space="preserve">豊田」、リード「大谷 </t>
    </r>
    <r>
      <rPr>
        <sz val="8"/>
        <color rgb="FF000000"/>
        <rFont val="Meiryo"/>
        <family val="0"/>
        <charset val="1"/>
      </rPr>
      <t xml:space="preserve">or </t>
    </r>
    <r>
      <rPr>
        <sz val="8"/>
        <color rgb="FF000000"/>
        <rFont val="WenQuanYi Zen Hei"/>
        <family val="2"/>
      </rPr>
      <t xml:space="preserve">白石」と主要</t>
    </r>
    <r>
      <rPr>
        <sz val="8"/>
        <color rgb="FF000000"/>
        <rFont val="Meiryo"/>
        <family val="0"/>
        <charset val="1"/>
      </rPr>
      <t xml:space="preserve">2</t>
    </r>
    <r>
      <rPr>
        <sz val="8"/>
        <color rgb="FF000000"/>
        <rFont val="WenQuanYi Zen Hei"/>
        <family val="2"/>
      </rPr>
      <t xml:space="preserve">ポジションが未確定。メンバーは「受注後迅速に決定」。</t>
    </r>
    <r>
      <rPr>
        <sz val="8"/>
        <color rgb="FF000000"/>
        <rFont val="Meiryo"/>
        <family val="0"/>
        <charset val="1"/>
      </rPr>
      <t xml:space="preserve">SME</t>
    </r>
    <r>
      <rPr>
        <sz val="8"/>
        <color rgb="FF000000"/>
        <rFont val="WenQuanYi Zen Hei"/>
        <family val="2"/>
      </rPr>
      <t xml:space="preserve">中村氏の専門性は高い。参画予定メンバー</t>
    </r>
    <r>
      <rPr>
        <sz val="8"/>
        <color rgb="FF000000"/>
        <rFont val="Meiryo"/>
        <family val="0"/>
        <charset val="1"/>
      </rPr>
      <t xml:space="preserve">4</t>
    </r>
    <r>
      <rPr>
        <sz val="8"/>
        <color rgb="FF000000"/>
        <rFont val="WenQuanYi Zen Hei"/>
        <family val="2"/>
      </rPr>
      <t xml:space="preserve">名（田村・豊田・中村・渡辺）にシステム連携を主導した実務経験の明記がなく、技術検証の担い手が体制表上で特定できない（★</t>
    </r>
    <r>
      <rPr>
        <sz val="8"/>
        <color rgb="FF000000"/>
        <rFont val="Meiryo"/>
        <family val="0"/>
        <charset val="1"/>
      </rPr>
      <t xml:space="preserve">A8</t>
    </r>
    <r>
      <rPr>
        <sz val="8"/>
        <color rgb="FF000000"/>
        <rFont val="WenQuanYi Zen Hei"/>
        <family val="2"/>
      </rPr>
      <t xml:space="preserve">）。本人のコンペ出席と確定を質疑で要確認。</t>
    </r>
  </si>
  <si>
    <r>
      <rPr>
        <sz val="8"/>
        <color rgb="FF000000"/>
        <rFont val="WenQuanYi Zen Hei"/>
        <family val="2"/>
      </rPr>
      <t xml:space="preserve">リード小林</t>
    </r>
    <r>
      <rPr>
        <sz val="8"/>
        <color rgb="FF000000"/>
        <rFont val="Meiryo"/>
        <family val="0"/>
        <charset val="1"/>
      </rPr>
      <t xml:space="preserve">P</t>
    </r>
    <r>
      <rPr>
        <sz val="8"/>
        <color rgb="FF000000"/>
        <rFont val="WenQuanYi Zen Hei"/>
        <family val="2"/>
      </rPr>
      <t xml:space="preserve">（関与</t>
    </r>
    <r>
      <rPr>
        <sz val="8"/>
        <color rgb="FF000000"/>
        <rFont val="Meiryo"/>
        <family val="0"/>
        <charset val="1"/>
      </rPr>
      <t xml:space="preserve">5%</t>
    </r>
    <r>
      <rPr>
        <sz val="8"/>
        <color rgb="FF000000"/>
        <rFont val="WenQuanYi Zen Hei"/>
        <family val="2"/>
      </rPr>
      <t xml:space="preserve">）・</t>
    </r>
    <r>
      <rPr>
        <sz val="8"/>
        <color rgb="FF000000"/>
        <rFont val="Meiryo"/>
        <family val="0"/>
        <charset val="1"/>
      </rPr>
      <t xml:space="preserve">PM</t>
    </r>
    <r>
      <rPr>
        <sz val="8"/>
        <color rgb="FF000000"/>
        <rFont val="WenQuanYi Zen Hei"/>
        <family val="2"/>
      </rPr>
      <t xml:space="preserve">須貝</t>
    </r>
    <r>
      <rPr>
        <sz val="8"/>
        <color rgb="FF000000"/>
        <rFont val="Meiryo"/>
        <family val="0"/>
        <charset val="1"/>
      </rPr>
      <t xml:space="preserve">SM</t>
    </r>
    <r>
      <rPr>
        <sz val="8"/>
        <color rgb="FF000000"/>
        <rFont val="WenQuanYi Zen Hei"/>
        <family val="2"/>
      </rPr>
      <t xml:space="preserve">（</t>
    </r>
    <r>
      <rPr>
        <sz val="8"/>
        <color rgb="FF000000"/>
        <rFont val="Meiryo"/>
        <family val="0"/>
        <charset val="1"/>
      </rPr>
      <t xml:space="preserve">20%</t>
    </r>
    <r>
      <rPr>
        <sz val="8"/>
        <color rgb="FF000000"/>
        <rFont val="WenQuanYi Zen Hei"/>
        <family val="2"/>
      </rPr>
      <t xml:space="preserve">）は実名・経歴・実績が詳細。ただし</t>
    </r>
    <r>
      <rPr>
        <sz val="8"/>
        <color rgb="FF000000"/>
        <rFont val="Meiryo"/>
        <family val="0"/>
        <charset val="1"/>
      </rPr>
      <t xml:space="preserve">100%</t>
    </r>
    <r>
      <rPr>
        <sz val="8"/>
        <color rgb="FF000000"/>
        <rFont val="WenQuanYi Zen Hei"/>
        <family val="2"/>
      </rPr>
      <t xml:space="preserve">稼働の実働</t>
    </r>
    <r>
      <rPr>
        <sz val="8"/>
        <color rgb="FF000000"/>
        <rFont val="Meiryo"/>
        <family val="0"/>
        <charset val="1"/>
      </rPr>
      <t xml:space="preserve">3</t>
    </r>
    <r>
      <rPr>
        <sz val="8"/>
        <color rgb="FF000000"/>
        <rFont val="WenQuanYi Zen Hei"/>
        <family val="2"/>
      </rPr>
      <t xml:space="preserve">名（</t>
    </r>
    <r>
      <rPr>
        <sz val="8"/>
        <color rgb="FF000000"/>
        <rFont val="Meiryo"/>
        <family val="0"/>
        <charset val="1"/>
      </rPr>
      <t xml:space="preserve">SA/A</t>
    </r>
    <r>
      <rPr>
        <sz val="8"/>
        <color rgb="FF000000"/>
        <rFont val="WenQuanYi Zen Hei"/>
        <family val="2"/>
      </rPr>
      <t xml:space="preserve">）が全員</t>
    </r>
    <r>
      <rPr>
        <sz val="8"/>
        <color rgb="FF000000"/>
        <rFont val="Meiryo"/>
        <family val="0"/>
        <charset val="1"/>
      </rPr>
      <t xml:space="preserve">TBD</t>
    </r>
    <r>
      <rPr>
        <sz val="8"/>
        <color rgb="FF000000"/>
        <rFont val="WenQuanYi Zen Hei"/>
        <family val="2"/>
      </rPr>
      <t xml:space="preserve">で実名・経歴なし。成果物品質の大半を担う層が匿名であり、書面では実現性を判断できない。加えて、体制で最もシステム連携・アーキテクチャの実務経験が濃い小泉氏（要件定義〜設計〜開発〜展開に精通）が</t>
    </r>
    <r>
      <rPr>
        <sz val="8"/>
        <color rgb="FF000000"/>
        <rFont val="Meiryo"/>
        <family val="0"/>
        <charset val="1"/>
      </rPr>
      <t xml:space="preserve">5%</t>
    </r>
    <r>
      <rPr>
        <sz val="8"/>
        <color rgb="FF000000"/>
        <rFont val="WenQuanYi Zen Hei"/>
        <family val="2"/>
      </rPr>
      <t xml:space="preserve">関与のアドバイザー層であり、技術的に最適な人材が実働に入らない可能性（★</t>
    </r>
    <r>
      <rPr>
        <sz val="8"/>
        <color rgb="FF000000"/>
        <rFont val="Meiryo"/>
        <family val="0"/>
        <charset val="1"/>
      </rPr>
      <t xml:space="preserve">B7</t>
    </r>
    <r>
      <rPr>
        <sz val="8"/>
        <color rgb="FF000000"/>
        <rFont val="WenQuanYi Zen Hei"/>
        <family val="2"/>
      </rPr>
      <t xml:space="preserve">）。</t>
    </r>
  </si>
  <si>
    <r>
      <rPr>
        <sz val="8"/>
        <color rgb="FF000000"/>
        <rFont val="WenQuanYi Zen Hei"/>
        <family val="2"/>
      </rPr>
      <t xml:space="preserve">主要</t>
    </r>
    <r>
      <rPr>
        <sz val="8"/>
        <color rgb="FF000000"/>
        <rFont val="Meiryo"/>
        <family val="0"/>
        <charset val="1"/>
      </rPr>
      <t xml:space="preserve">6</t>
    </r>
    <r>
      <rPr>
        <sz val="8"/>
        <color rgb="FF000000"/>
        <rFont val="WenQuanYi Zen Hei"/>
        <family val="2"/>
      </rPr>
      <t xml:space="preserve">名を実名・経歴・類似実績付きで提示（</t>
    </r>
    <r>
      <rPr>
        <sz val="8"/>
        <color rgb="FF000000"/>
        <rFont val="Meiryo"/>
        <family val="0"/>
        <charset val="1"/>
      </rPr>
      <t xml:space="preserve">PM</t>
    </r>
    <r>
      <rPr>
        <sz val="8"/>
        <color rgb="FF000000"/>
        <rFont val="WenQuanYi Zen Hei"/>
        <family val="2"/>
      </rPr>
      <t xml:space="preserve">山野氏＝食品メーカーの</t>
    </r>
    <r>
      <rPr>
        <sz val="8"/>
        <color rgb="FF000000"/>
        <rFont val="Meiryo"/>
        <family val="0"/>
        <charset val="1"/>
      </rPr>
      <t xml:space="preserve">SSBJ</t>
    </r>
    <r>
      <rPr>
        <sz val="8"/>
        <color rgb="FF000000"/>
        <rFont val="WenQuanYi Zen Hei"/>
        <family val="2"/>
      </rPr>
      <t xml:space="preserve">報告プロセス可視化・内部統制整備、張本氏＝公認会計士</t>
    </r>
    <r>
      <rPr>
        <sz val="8"/>
        <color rgb="FF000000"/>
        <rFont val="Meiryo"/>
        <family val="0"/>
        <charset val="1"/>
      </rPr>
      <t xml:space="preserve">15</t>
    </r>
    <r>
      <rPr>
        <sz val="8"/>
        <color rgb="FF000000"/>
        <rFont val="WenQuanYi Zen Hei"/>
        <family val="2"/>
      </rPr>
      <t xml:space="preserve">年）。ただし実働コンサルタント</t>
    </r>
    <r>
      <rPr>
        <sz val="8"/>
        <color rgb="FF000000"/>
        <rFont val="Meiryo"/>
        <family val="0"/>
        <charset val="1"/>
      </rPr>
      <t xml:space="preserve">3</t>
    </r>
    <r>
      <rPr>
        <sz val="8"/>
        <color rgb="FF000000"/>
        <rFont val="WenQuanYi Zen Hei"/>
        <family val="2"/>
      </rPr>
      <t xml:space="preserve">名は</t>
    </r>
    <r>
      <rPr>
        <sz val="8"/>
        <color rgb="FF000000"/>
        <rFont val="Meiryo"/>
        <family val="0"/>
        <charset val="1"/>
      </rPr>
      <t xml:space="preserve">TBD</t>
    </r>
    <r>
      <rPr>
        <sz val="8"/>
        <color rgb="FF000000"/>
        <rFont val="WenQuanYi Zen Hei"/>
        <family val="2"/>
      </rPr>
      <t xml:space="preserve">、「参画メンバーは変更になる可能性」の注記あり。加えて、</t>
    </r>
    <r>
      <rPr>
        <sz val="8"/>
        <color rgb="FF000000"/>
        <rFont val="Meiryo"/>
        <family val="0"/>
        <charset val="1"/>
      </rPr>
      <t xml:space="preserve">SSBJ</t>
    </r>
    <r>
      <rPr>
        <sz val="8"/>
        <color rgb="FF000000"/>
        <rFont val="WenQuanYi Zen Hei"/>
        <family val="2"/>
      </rPr>
      <t xml:space="preserve">向けシステム要件定義・導入実績を複数持つ森銅氏の稼働が体制表で「適宜」であり、最も技術経験が濃い人物の稼働率が最も低い可能性（★</t>
    </r>
    <r>
      <rPr>
        <sz val="8"/>
        <color rgb="FF000000"/>
        <rFont val="Meiryo"/>
        <family val="0"/>
        <charset val="1"/>
      </rPr>
      <t xml:space="preserve">C8</t>
    </r>
    <r>
      <rPr>
        <sz val="8"/>
        <color rgb="FF000000"/>
        <rFont val="WenQuanYi Zen Hei"/>
        <family val="2"/>
      </rPr>
      <t xml:space="preserve">）。本人出席と交代条件を質疑で要確認。</t>
    </r>
  </si>
  <si>
    <r>
      <rPr>
        <b val="true"/>
        <sz val="10"/>
        <color rgb="FF000000"/>
        <rFont val="Meiryo"/>
        <family val="0"/>
        <charset val="1"/>
      </rPr>
      <t xml:space="preserve">Q </t>
    </r>
    <r>
      <rPr>
        <b val="true"/>
        <sz val="10"/>
        <color rgb="FF000000"/>
        <rFont val="WenQuanYi Zen Hei"/>
        <family val="2"/>
      </rPr>
      <t xml:space="preserve">小計</t>
    </r>
  </si>
  <si>
    <r>
      <rPr>
        <b val="true"/>
        <sz val="10"/>
        <color rgb="FF000000"/>
        <rFont val="Meiryo"/>
        <family val="0"/>
        <charset val="1"/>
      </rPr>
      <t xml:space="preserve">C</t>
    </r>
    <r>
      <rPr>
        <b val="true"/>
        <sz val="10"/>
        <color rgb="FF000000"/>
        <rFont val="WenQuanYi Zen Hei"/>
        <family val="2"/>
      </rPr>
      <t xml:space="preserve">｜</t>
    </r>
    <r>
      <rPr>
        <b val="true"/>
        <sz val="10"/>
        <color rgb="FF000000"/>
        <rFont val="Meiryo"/>
        <family val="0"/>
        <charset val="1"/>
      </rPr>
      <t xml:space="preserve">Cost</t>
    </r>
    <r>
      <rPr>
        <b val="true"/>
        <sz val="10"/>
        <color rgb="FF000000"/>
        <rFont val="WenQuanYi Zen Hei"/>
        <family val="2"/>
      </rPr>
      <t xml:space="preserve">（コスト）— 価格の妥当性と統制</t>
    </r>
  </si>
  <si>
    <t xml:space="preserve">C1</t>
  </si>
  <si>
    <t xml:space="preserve">見積総額の妥当性</t>
  </si>
  <si>
    <r>
      <rPr>
        <sz val="8"/>
        <color rgb="FF000000"/>
        <rFont val="Meiryo"/>
        <family val="0"/>
        <charset val="1"/>
      </rPr>
      <t xml:space="preserve">3</t>
    </r>
    <r>
      <rPr>
        <sz val="8"/>
        <color rgb="FF000000"/>
        <rFont val="WenQuanYi Zen Hei"/>
        <family val="2"/>
      </rPr>
      <t xml:space="preserve">ヶ月スコープ・成果物</t>
    </r>
    <r>
      <rPr>
        <sz val="8"/>
        <color rgb="FF000000"/>
        <rFont val="Meiryo"/>
        <family val="0"/>
        <charset val="1"/>
      </rPr>
      <t xml:space="preserve">10</t>
    </r>
    <r>
      <rPr>
        <sz val="8"/>
        <color rgb="FF000000"/>
        <rFont val="WenQuanYi Zen Hei"/>
        <family val="2"/>
      </rPr>
      <t xml:space="preserve">点に対し市場相場・投入体制と整合するか（極端な安値は実態確認のうえ減点）</t>
    </r>
  </si>
  <si>
    <r>
      <rPr>
        <sz val="8"/>
        <color rgb="FF000000"/>
        <rFont val="WenQuanYi Zen Hei"/>
        <family val="2"/>
      </rPr>
      <t xml:space="preserve">値引後</t>
    </r>
    <r>
      <rPr>
        <sz val="8"/>
        <color rgb="FF000000"/>
        <rFont val="Meiryo"/>
        <family val="0"/>
        <charset val="1"/>
      </rPr>
      <t xml:space="preserve">2,400</t>
    </r>
    <r>
      <rPr>
        <sz val="8"/>
        <color rgb="FF000000"/>
        <rFont val="WenQuanYi Zen Hei"/>
        <family val="2"/>
      </rPr>
      <t xml:space="preserve">万円（税抜）は</t>
    </r>
    <r>
      <rPr>
        <sz val="8"/>
        <color rgb="FF000000"/>
        <rFont val="Meiryo"/>
        <family val="0"/>
        <charset val="1"/>
      </rPr>
      <t xml:space="preserve">3</t>
    </r>
    <r>
      <rPr>
        <sz val="8"/>
        <color rgb="FF000000"/>
        <rFont val="WenQuanYi Zen Hei"/>
        <family val="2"/>
      </rPr>
      <t xml:space="preserve">ヶ月・実働</t>
    </r>
    <r>
      <rPr>
        <sz val="8"/>
        <color rgb="FF000000"/>
        <rFont val="Meiryo"/>
        <family val="0"/>
        <charset val="1"/>
      </rPr>
      <t xml:space="preserve">4</t>
    </r>
    <r>
      <rPr>
        <sz val="8"/>
        <color rgb="FF000000"/>
        <rFont val="WenQuanYi Zen Hei"/>
        <family val="2"/>
      </rPr>
      <t xml:space="preserve">〜</t>
    </r>
    <r>
      <rPr>
        <sz val="8"/>
        <color rgb="FF000000"/>
        <rFont val="Meiryo"/>
        <family val="0"/>
        <charset val="1"/>
      </rPr>
      <t xml:space="preserve">5</t>
    </r>
    <r>
      <rPr>
        <sz val="8"/>
        <color rgb="FF000000"/>
        <rFont val="WenQuanYi Zen Hei"/>
        <family val="2"/>
      </rPr>
      <t xml:space="preserve">名として相場下限。定価</t>
    </r>
    <r>
      <rPr>
        <sz val="8"/>
        <color rgb="FF000000"/>
        <rFont val="Meiryo"/>
        <family val="0"/>
        <charset val="1"/>
      </rPr>
      <t xml:space="preserve">3,520</t>
    </r>
    <r>
      <rPr>
        <sz val="8"/>
        <color rgb="FF000000"/>
        <rFont val="WenQuanYi Zen Hei"/>
        <family val="2"/>
      </rPr>
      <t xml:space="preserve">万円からの</t>
    </r>
    <r>
      <rPr>
        <sz val="8"/>
        <color rgb="FF000000"/>
        <rFont val="Meiryo"/>
        <family val="0"/>
        <charset val="1"/>
      </rPr>
      <t xml:space="preserve">32%</t>
    </r>
    <r>
      <rPr>
        <sz val="8"/>
        <color rgb="FF000000"/>
        <rFont val="WenQuanYi Zen Hei"/>
        <family val="2"/>
      </rPr>
      <t xml:space="preserve">値引き（▲</t>
    </r>
    <r>
      <rPr>
        <sz val="8"/>
        <color rgb="FF000000"/>
        <rFont val="Meiryo"/>
        <family val="0"/>
        <charset val="1"/>
      </rPr>
      <t xml:space="preserve">1,120</t>
    </r>
    <r>
      <rPr>
        <sz val="8"/>
        <color rgb="FF000000"/>
        <rFont val="WenQuanYi Zen Hei"/>
        <family val="2"/>
      </rPr>
      <t xml:space="preserve">万円）は採点ルール上「極端な安値」の確認対象。値引きの持続性（次フェーズ単価）と体制維持の実態を質疑で確認のうえ確定。</t>
    </r>
  </si>
  <si>
    <r>
      <rPr>
        <sz val="8"/>
        <color rgb="FF000000"/>
        <rFont val="WenQuanYi Zen Hei"/>
        <family val="2"/>
      </rPr>
      <t xml:space="preserve">案①</t>
    </r>
    <r>
      <rPr>
        <sz val="8"/>
        <color rgb="FF000000"/>
        <rFont val="Meiryo"/>
        <family val="0"/>
        <charset val="1"/>
      </rPr>
      <t xml:space="preserve">3,350</t>
    </r>
    <r>
      <rPr>
        <sz val="8"/>
        <color rgb="FF000000"/>
        <rFont val="WenQuanYi Zen Hei"/>
        <family val="2"/>
      </rPr>
      <t xml:space="preserve">万／案②</t>
    </r>
    <r>
      <rPr>
        <sz val="8"/>
        <color rgb="FF000000"/>
        <rFont val="Meiryo"/>
        <family val="0"/>
        <charset val="1"/>
      </rPr>
      <t xml:space="preserve">2,700</t>
    </r>
    <r>
      <rPr>
        <sz val="8"/>
        <color rgb="FF000000"/>
        <rFont val="WenQuanYi Zen Hei"/>
        <family val="2"/>
      </rPr>
      <t xml:space="preserve">万／案③</t>
    </r>
    <r>
      <rPr>
        <sz val="8"/>
        <color rgb="FF000000"/>
        <rFont val="Meiryo"/>
        <family val="0"/>
        <charset val="1"/>
      </rPr>
      <t xml:space="preserve">2,150</t>
    </r>
    <r>
      <rPr>
        <sz val="8"/>
        <color rgb="FF000000"/>
        <rFont val="WenQuanYi Zen Hei"/>
        <family val="2"/>
      </rPr>
      <t xml:space="preserve">万円と</t>
    </r>
    <r>
      <rPr>
        <sz val="8"/>
        <color rgb="FF000000"/>
        <rFont val="Meiryo"/>
        <family val="0"/>
        <charset val="1"/>
      </rPr>
      <t xml:space="preserve">3</t>
    </r>
    <r>
      <rPr>
        <sz val="8"/>
        <color rgb="FF000000"/>
        <rFont val="WenQuanYi Zen Hei"/>
        <family val="2"/>
      </rPr>
      <t xml:space="preserve">案でスコープと金額の対応が開示され、体制との整合も説明可能。</t>
    </r>
    <r>
      <rPr>
        <sz val="8"/>
        <color rgb="FF000000"/>
        <rFont val="Meiryo"/>
        <family val="0"/>
        <charset val="1"/>
      </rPr>
      <t xml:space="preserve">3</t>
    </r>
    <r>
      <rPr>
        <sz val="8"/>
        <color rgb="FF000000"/>
        <rFont val="WenQuanYi Zen Hei"/>
        <family val="2"/>
      </rPr>
      <t xml:space="preserve">ヶ月強・実働</t>
    </r>
    <r>
      <rPr>
        <sz val="8"/>
        <color rgb="FF000000"/>
        <rFont val="Meiryo"/>
        <family val="0"/>
        <charset val="1"/>
      </rPr>
      <t xml:space="preserve">3</t>
    </r>
    <r>
      <rPr>
        <sz val="8"/>
        <color rgb="FF000000"/>
        <rFont val="WenQuanYi Zen Hei"/>
        <family val="2"/>
      </rPr>
      <t xml:space="preserve">名＋管理として市場相場レンジ内。</t>
    </r>
  </si>
  <si>
    <r>
      <rPr>
        <sz val="8"/>
        <color rgb="FF000000"/>
        <rFont val="WenQuanYi Zen Hei"/>
        <family val="2"/>
      </rPr>
      <t xml:space="preserve">【</t>
    </r>
    <r>
      <rPr>
        <sz val="8"/>
        <color rgb="FF000000"/>
        <rFont val="Meiryo"/>
        <family val="0"/>
        <charset val="1"/>
      </rPr>
      <t xml:space="preserve">v1.1</t>
    </r>
    <r>
      <rPr>
        <sz val="8"/>
        <color rgb="FF000000"/>
        <rFont val="WenQuanYi Zen Hei"/>
        <family val="2"/>
      </rPr>
      <t xml:space="preserve">で更新】基本スコープ</t>
    </r>
    <r>
      <rPr>
        <sz val="8"/>
        <color rgb="FF000000"/>
        <rFont val="Meiryo"/>
        <family val="0"/>
        <charset val="1"/>
      </rPr>
      <t xml:space="preserve">5,300</t>
    </r>
    <r>
      <rPr>
        <sz val="8"/>
        <color rgb="FF000000"/>
        <rFont val="WenQuanYi Zen Hei"/>
        <family val="2"/>
      </rPr>
      <t xml:space="preserve">万円（</t>
    </r>
    <r>
      <rPr>
        <sz val="8"/>
        <color rgb="FF000000"/>
        <rFont val="Meiryo"/>
        <family val="0"/>
        <charset val="1"/>
      </rPr>
      <t xml:space="preserve">9/1</t>
    </r>
    <r>
      <rPr>
        <sz val="8"/>
        <color rgb="FF000000"/>
        <rFont val="WenQuanYi Zen Hei"/>
        <family val="2"/>
      </rPr>
      <t xml:space="preserve">〜</t>
    </r>
    <r>
      <rPr>
        <sz val="8"/>
        <color rgb="FF000000"/>
        <rFont val="Meiryo"/>
        <family val="0"/>
        <charset val="1"/>
      </rPr>
      <t xml:space="preserve">12/28</t>
    </r>
    <r>
      <rPr>
        <sz val="8"/>
        <color rgb="FF000000"/>
        <rFont val="WenQuanYi Zen Hei"/>
        <family val="2"/>
      </rPr>
      <t xml:space="preserve">）＋オプション</t>
    </r>
    <r>
      <rPr>
        <sz val="8"/>
        <color rgb="FF000000"/>
        <rFont val="Meiryo"/>
        <family val="0"/>
        <charset val="1"/>
      </rPr>
      <t xml:space="preserve">A(</t>
    </r>
    <r>
      <rPr>
        <sz val="8"/>
        <color rgb="FF000000"/>
        <rFont val="WenQuanYi Zen Hei"/>
        <family val="2"/>
      </rPr>
      <t xml:space="preserve">ベンダー評価</t>
    </r>
    <r>
      <rPr>
        <sz val="8"/>
        <color rgb="FF000000"/>
        <rFont val="Meiryo"/>
        <family val="0"/>
        <charset val="1"/>
      </rPr>
      <t xml:space="preserve">)300</t>
    </r>
    <r>
      <rPr>
        <sz val="8"/>
        <color rgb="FF000000"/>
        <rFont val="WenQuanYi Zen Hei"/>
        <family val="2"/>
      </rPr>
      <t xml:space="preserve">万円＋オプション</t>
    </r>
    <r>
      <rPr>
        <sz val="8"/>
        <color rgb="FF000000"/>
        <rFont val="Meiryo"/>
        <family val="0"/>
        <charset val="1"/>
      </rPr>
      <t xml:space="preserve">B(</t>
    </r>
    <r>
      <rPr>
        <sz val="8"/>
        <color rgb="FF000000"/>
        <rFont val="WenQuanYi Zen Hei"/>
        <family val="2"/>
      </rPr>
      <t xml:space="preserve">非システム課題・効果試算</t>
    </r>
    <r>
      <rPr>
        <sz val="8"/>
        <color rgb="FF000000"/>
        <rFont val="Meiryo"/>
        <family val="0"/>
        <charset val="1"/>
      </rPr>
      <t xml:space="preserve">)2,200</t>
    </r>
    <r>
      <rPr>
        <sz val="8"/>
        <color rgb="FF000000"/>
        <rFont val="WenQuanYi Zen Hei"/>
        <family val="2"/>
      </rPr>
      <t xml:space="preserve">万円に切り出され、検証可能になった点は評価。ただし基本スコープのみでも</t>
    </r>
    <r>
      <rPr>
        <sz val="8"/>
        <color rgb="FF000000"/>
        <rFont val="Meiryo"/>
        <family val="0"/>
        <charset val="1"/>
      </rPr>
      <t xml:space="preserve">Rise</t>
    </r>
    <r>
      <rPr>
        <sz val="8"/>
        <color rgb="FF000000"/>
        <rFont val="WenQuanYi Zen Hei"/>
        <family val="2"/>
      </rPr>
      <t xml:space="preserve">比</t>
    </r>
    <r>
      <rPr>
        <sz val="8"/>
        <color rgb="FF000000"/>
        <rFont val="Meiryo"/>
        <family val="0"/>
        <charset val="1"/>
      </rPr>
      <t xml:space="preserve">2.2</t>
    </r>
    <r>
      <rPr>
        <sz val="8"/>
        <color rgb="FF000000"/>
        <rFont val="WenQuanYi Zen Hei"/>
        <family val="2"/>
      </rPr>
      <t xml:space="preserve">倍・</t>
    </r>
    <r>
      <rPr>
        <sz val="8"/>
        <color rgb="FF000000"/>
        <rFont val="Meiryo"/>
        <family val="0"/>
        <charset val="1"/>
      </rPr>
      <t xml:space="preserve">PwC</t>
    </r>
    <r>
      <rPr>
        <sz val="8"/>
        <color rgb="FF000000"/>
        <rFont val="WenQuanYi Zen Hei"/>
        <family val="2"/>
      </rPr>
      <t xml:space="preserve">案②比</t>
    </r>
    <r>
      <rPr>
        <sz val="8"/>
        <color rgb="FF000000"/>
        <rFont val="Meiryo"/>
        <family val="0"/>
        <charset val="1"/>
      </rPr>
      <t xml:space="preserve">1.96</t>
    </r>
    <r>
      <rPr>
        <sz val="8"/>
        <color rgb="FF000000"/>
        <rFont val="WenQuanYi Zen Hei"/>
        <family val="2"/>
      </rPr>
      <t xml:space="preserve">倍。品質点あたりコスト（後述）でも他社を上回り、価格妥当性の疑義は残る。</t>
    </r>
  </si>
  <si>
    <t xml:space="preserve">C2</t>
  </si>
  <si>
    <t xml:space="preserve">工数・単価の透明性</t>
  </si>
  <si>
    <r>
      <rPr>
        <sz val="8"/>
        <color rgb="FF000000"/>
        <rFont val="WenQuanYi Zen Hei"/>
        <family val="2"/>
      </rPr>
      <t xml:space="preserve">ランク別単価</t>
    </r>
    <r>
      <rPr>
        <sz val="8"/>
        <color rgb="FF000000"/>
        <rFont val="Meiryo"/>
        <family val="0"/>
        <charset val="1"/>
      </rPr>
      <t xml:space="preserve">×</t>
    </r>
    <r>
      <rPr>
        <sz val="8"/>
        <color rgb="FF000000"/>
        <rFont val="WenQuanYi Zen Hei"/>
        <family val="2"/>
      </rPr>
      <t xml:space="preserve">人数</t>
    </r>
    <r>
      <rPr>
        <sz val="8"/>
        <color rgb="FF000000"/>
        <rFont val="Meiryo"/>
        <family val="0"/>
        <charset val="1"/>
      </rPr>
      <t xml:space="preserve">×</t>
    </r>
    <r>
      <rPr>
        <sz val="8"/>
        <color rgb="FF000000"/>
        <rFont val="WenQuanYi Zen Hei"/>
        <family val="2"/>
      </rPr>
      <t xml:space="preserve">稼働率</t>
    </r>
    <r>
      <rPr>
        <sz val="8"/>
        <color rgb="FF000000"/>
        <rFont val="Meiryo"/>
        <family val="0"/>
        <charset val="1"/>
      </rPr>
      <t xml:space="preserve">×</t>
    </r>
    <r>
      <rPr>
        <sz val="8"/>
        <color rgb="FF000000"/>
        <rFont val="WenQuanYi Zen Hei"/>
        <family val="2"/>
      </rPr>
      <t xml:space="preserve">期間の内訳が開示され、</t>
    </r>
    <r>
      <rPr>
        <sz val="8"/>
        <color rgb="FF000000"/>
        <rFont val="Meiryo"/>
        <family val="0"/>
        <charset val="1"/>
      </rPr>
      <t xml:space="preserve">WBS</t>
    </r>
    <r>
      <rPr>
        <sz val="8"/>
        <color rgb="FF000000"/>
        <rFont val="WenQuanYi Zen Hei"/>
        <family val="2"/>
      </rPr>
      <t xml:space="preserve">のタスクと工数の対応を検証できるか</t>
    </r>
  </si>
  <si>
    <r>
      <rPr>
        <sz val="8"/>
        <color rgb="FF000000"/>
        <rFont val="WenQuanYi Zen Hei"/>
        <family val="2"/>
      </rPr>
      <t xml:space="preserve">内訳非開示（総額＋値引き額のみ）。体制表にフルタイム／パートタイムの区分はあるが、ランク別単価・稼働率</t>
    </r>
    <r>
      <rPr>
        <sz val="8"/>
        <color rgb="FF000000"/>
        <rFont val="Meiryo"/>
        <family val="0"/>
        <charset val="1"/>
      </rPr>
      <t xml:space="preserve">%</t>
    </r>
    <r>
      <rPr>
        <sz val="8"/>
        <color rgb="FF000000"/>
        <rFont val="WenQuanYi Zen Hei"/>
        <family val="2"/>
      </rPr>
      <t xml:space="preserve">・工数がなく、</t>
    </r>
    <r>
      <rPr>
        <sz val="8"/>
        <color rgb="FF000000"/>
        <rFont val="Meiryo"/>
        <family val="0"/>
        <charset val="1"/>
      </rPr>
      <t xml:space="preserve">WBS</t>
    </r>
    <r>
      <rPr>
        <sz val="8"/>
        <color rgb="FF000000"/>
        <rFont val="WenQuanYi Zen Hei"/>
        <family val="2"/>
      </rPr>
      <t xml:space="preserve">別紙とタスク工数の対応も検証不可。</t>
    </r>
  </si>
  <si>
    <r>
      <rPr>
        <sz val="8"/>
        <color rgb="FF000000"/>
        <rFont val="WenQuanYi Zen Hei"/>
        <family val="2"/>
      </rPr>
      <t xml:space="preserve">メンバー別・月別の関与工数</t>
    </r>
    <r>
      <rPr>
        <sz val="8"/>
        <color rgb="FF000000"/>
        <rFont val="Meiryo"/>
        <family val="0"/>
        <charset val="1"/>
      </rPr>
      <t xml:space="preserve">%</t>
    </r>
    <r>
      <rPr>
        <sz val="8"/>
        <color rgb="FF000000"/>
        <rFont val="WenQuanYi Zen Hei"/>
        <family val="2"/>
      </rPr>
      <t xml:space="preserve">を唯一開示（</t>
    </r>
    <r>
      <rPr>
        <sz val="8"/>
        <color rgb="FF000000"/>
        <rFont val="Meiryo"/>
        <family val="0"/>
        <charset val="1"/>
      </rPr>
      <t xml:space="preserve">P5%</t>
    </r>
    <r>
      <rPr>
        <sz val="8"/>
        <color rgb="FF000000"/>
        <rFont val="WenQuanYi Zen Hei"/>
        <family val="2"/>
      </rPr>
      <t xml:space="preserve">・</t>
    </r>
    <r>
      <rPr>
        <sz val="8"/>
        <color rgb="FF000000"/>
        <rFont val="Meiryo"/>
        <family val="0"/>
        <charset val="1"/>
      </rPr>
      <t xml:space="preserve">SM20%</t>
    </r>
    <r>
      <rPr>
        <sz val="8"/>
        <color rgb="FF000000"/>
        <rFont val="WenQuanYi Zen Hei"/>
        <family val="2"/>
      </rPr>
      <t xml:space="preserve">・実働</t>
    </r>
    <r>
      <rPr>
        <sz val="8"/>
        <color rgb="FF000000"/>
        <rFont val="Meiryo"/>
        <family val="0"/>
        <charset val="1"/>
      </rPr>
      <t xml:space="preserve">100%×3</t>
    </r>
    <r>
      <rPr>
        <sz val="8"/>
        <color rgb="FF000000"/>
        <rFont val="WenQuanYi Zen Hei"/>
        <family val="2"/>
      </rPr>
      <t xml:space="preserve">名等）。ただしランク別単価は非開示のため、単価</t>
    </r>
    <r>
      <rPr>
        <sz val="8"/>
        <color rgb="FF000000"/>
        <rFont val="Meiryo"/>
        <family val="0"/>
        <charset val="1"/>
      </rPr>
      <t xml:space="preserve">×</t>
    </r>
    <r>
      <rPr>
        <sz val="8"/>
        <color rgb="FF000000"/>
        <rFont val="WenQuanYi Zen Hei"/>
        <family val="2"/>
      </rPr>
      <t xml:space="preserve">工数の妥当性検証まではできない。</t>
    </r>
  </si>
  <si>
    <r>
      <rPr>
        <sz val="8"/>
        <color rgb="FF000000"/>
        <rFont val="WenQuanYi Zen Hei"/>
        <family val="2"/>
      </rPr>
      <t xml:space="preserve">総額のみで単価・工数・稼働率の内訳なし。タスク一覧（</t>
    </r>
    <r>
      <rPr>
        <sz val="8"/>
        <color rgb="FF000000"/>
        <rFont val="Meiryo"/>
        <family val="0"/>
        <charset val="1"/>
      </rPr>
      <t xml:space="preserve">15</t>
    </r>
    <r>
      <rPr>
        <sz val="8"/>
        <color rgb="FF000000"/>
        <rFont val="WenQuanYi Zen Hei"/>
        <family val="2"/>
      </rPr>
      <t xml:space="preserve">タスク）は</t>
    </r>
    <r>
      <rPr>
        <sz val="8"/>
        <color rgb="FF000000"/>
        <rFont val="Meiryo"/>
        <family val="0"/>
        <charset val="1"/>
      </rPr>
      <t xml:space="preserve">3</t>
    </r>
    <r>
      <rPr>
        <sz val="8"/>
        <color rgb="FF000000"/>
        <rFont val="WenQuanYi Zen Hei"/>
        <family val="2"/>
      </rPr>
      <t xml:space="preserve">社中最も詳細だが、タスクと工数・金額の対応が示されていない。</t>
    </r>
  </si>
  <si>
    <t xml:space="preserve">C3</t>
  </si>
  <si>
    <t xml:space="preserve">追加費用条件・変更管理</t>
  </si>
  <si>
    <t xml:space="preserve">手戻り・スコープ変更時の費用発生条件と変更管理手続きが契約前に明文化されているか</t>
  </si>
  <si>
    <t xml:space="preserve">「その他諸費用が発生する場合は相談の上別途請求」のみ。手戻り・スコープ変更時の費用発生条件、変更管理手続きの明文化なし。</t>
  </si>
  <si>
    <t xml:space="preserve">「作業範囲・作業量の大幅な拡大・増加により当初見積り超過の可能性が生じた場合は、速やかに相談のうえ再見積り」と契約前に明文化。変更管理の承認手続きまでは未定義。</t>
  </si>
  <si>
    <r>
      <rPr>
        <sz val="8"/>
        <color rgb="FF000000"/>
        <rFont val="WenQuanYi Zen Hei"/>
        <family val="2"/>
      </rPr>
      <t xml:space="preserve">「期間・業務内容・前提条件が変更となる場合は相談のうえ改めて提案」を明文化。加えて「ベンダー評価は</t>
    </r>
    <r>
      <rPr>
        <sz val="8"/>
        <color rgb="FF000000"/>
        <rFont val="Meiryo"/>
        <family val="0"/>
        <charset val="1"/>
      </rPr>
      <t xml:space="preserve">1</t>
    </r>
    <r>
      <rPr>
        <sz val="8"/>
        <color rgb="FF000000"/>
        <rFont val="WenQuanYi Zen Hei"/>
        <family val="2"/>
      </rPr>
      <t xml:space="preserve">月末までに回答があった企業に限る」等、対応範囲の条件を明示している。</t>
    </r>
  </si>
  <si>
    <t xml:space="preserve">C4</t>
  </si>
  <si>
    <t xml:space="preserve">費用対効果の説明力</t>
  </si>
  <si>
    <t xml:space="preserve">支援により回避できるコスト（監査工数・手戻り・ベンダー選定失敗）と投資額の関係を説明できるか</t>
  </si>
  <si>
    <t xml:space="preserve">監査コスト増・開示遅延・品質低下等の経営リスクは定性的に説明されるが、回避コストと投資額の定量的な関係の説明なし。</t>
  </si>
  <si>
    <t xml:space="preserve">保証工数削減による開示リードタイム短縮、業務工数削減への言及はあるが、回避コストと投資額の定量関係の説明はなし。</t>
  </si>
  <si>
    <r>
      <rPr>
        <sz val="8"/>
        <color rgb="FF000000"/>
        <rFont val="WenQuanYi Zen Hei"/>
        <family val="2"/>
      </rPr>
      <t xml:space="preserve">「工数削減額・リスク回避額・収益機会」の効果</t>
    </r>
    <r>
      <rPr>
        <sz val="8"/>
        <color rgb="FF000000"/>
        <rFont val="Meiryo"/>
        <family val="0"/>
        <charset val="1"/>
      </rPr>
      <t xml:space="preserve">3</t>
    </r>
    <r>
      <rPr>
        <sz val="8"/>
        <color rgb="FF000000"/>
        <rFont val="WenQuanYi Zen Hei"/>
        <family val="2"/>
      </rPr>
      <t xml:space="preserve">分類で投資をリターンに転換するコンセプトを掲げ、</t>
    </r>
    <r>
      <rPr>
        <sz val="8"/>
        <color rgb="FF000000"/>
        <rFont val="Meiryo"/>
        <family val="0"/>
        <charset val="1"/>
      </rPr>
      <t xml:space="preserve">As-Is</t>
    </r>
    <r>
      <rPr>
        <sz val="8"/>
        <color rgb="FF000000"/>
        <rFont val="WenQuanYi Zen Hei"/>
        <family val="2"/>
      </rPr>
      <t xml:space="preserve">実測に基づく</t>
    </r>
    <r>
      <rPr>
        <sz val="8"/>
        <color rgb="FF000000"/>
        <rFont val="Meiryo"/>
        <family val="0"/>
        <charset val="1"/>
      </rPr>
      <t xml:space="preserve">ROI</t>
    </r>
    <r>
      <rPr>
        <sz val="8"/>
        <color rgb="FF000000"/>
        <rFont val="WenQuanYi Zen Hei"/>
        <family val="2"/>
      </rPr>
      <t xml:space="preserve">精緻化・経営上申資料の作成をタスク（</t>
    </r>
    <r>
      <rPr>
        <sz val="8"/>
        <color rgb="FF000000"/>
        <rFont val="Meiryo"/>
        <family val="0"/>
        <charset val="1"/>
      </rPr>
      <t xml:space="preserve">#15</t>
    </r>
    <r>
      <rPr>
        <sz val="8"/>
        <color rgb="FF000000"/>
        <rFont val="WenQuanYi Zen Hei"/>
        <family val="2"/>
      </rPr>
      <t xml:space="preserve">）としてスコープに内蔵。定量の実例までは未提示のため</t>
    </r>
    <r>
      <rPr>
        <sz val="8"/>
        <color rgb="FF000000"/>
        <rFont val="Meiryo"/>
        <family val="0"/>
        <charset val="1"/>
      </rPr>
      <t xml:space="preserve">4</t>
    </r>
    <r>
      <rPr>
        <sz val="8"/>
        <color rgb="FF000000"/>
        <rFont val="WenQuanYi Zen Hei"/>
        <family val="2"/>
      </rPr>
      <t xml:space="preserve">。</t>
    </r>
  </si>
  <si>
    <r>
      <rPr>
        <b val="true"/>
        <sz val="10"/>
        <color rgb="FF000000"/>
        <rFont val="Meiryo"/>
        <family val="0"/>
        <charset val="1"/>
      </rPr>
      <t xml:space="preserve">C </t>
    </r>
    <r>
      <rPr>
        <b val="true"/>
        <sz val="10"/>
        <color rgb="FF000000"/>
        <rFont val="WenQuanYi Zen Hei"/>
        <family val="2"/>
      </rPr>
      <t xml:space="preserve">小計</t>
    </r>
  </si>
  <si>
    <r>
      <rPr>
        <b val="true"/>
        <sz val="10"/>
        <color rgb="FF000000"/>
        <rFont val="Meiryo"/>
        <family val="0"/>
        <charset val="1"/>
      </rPr>
      <t xml:space="preserve">D</t>
    </r>
    <r>
      <rPr>
        <b val="true"/>
        <sz val="10"/>
        <color rgb="FF000000"/>
        <rFont val="WenQuanYi Zen Hei"/>
        <family val="2"/>
      </rPr>
      <t xml:space="preserve">｜</t>
    </r>
    <r>
      <rPr>
        <b val="true"/>
        <sz val="10"/>
        <color rgb="FF000000"/>
        <rFont val="Meiryo"/>
        <family val="0"/>
        <charset val="1"/>
      </rPr>
      <t xml:space="preserve">Delivery</t>
    </r>
    <r>
      <rPr>
        <b val="true"/>
        <sz val="10"/>
        <color rgb="FF000000"/>
        <rFont val="WenQuanYi Zen Hei"/>
        <family val="2"/>
      </rPr>
      <t xml:space="preserve">（納期）— </t>
    </r>
    <r>
      <rPr>
        <b val="true"/>
        <sz val="10"/>
        <color rgb="FF000000"/>
        <rFont val="Meiryo"/>
        <family val="0"/>
        <charset val="1"/>
      </rPr>
      <t xml:space="preserve">3</t>
    </r>
    <r>
      <rPr>
        <b val="true"/>
        <sz val="10"/>
        <color rgb="FF000000"/>
        <rFont val="WenQuanYi Zen Hei"/>
        <family val="2"/>
      </rPr>
      <t xml:space="preserve">ヶ月完遂の確実性</t>
    </r>
  </si>
  <si>
    <t xml:space="preserve">D1</t>
  </si>
  <si>
    <r>
      <rPr>
        <b val="true"/>
        <sz val="9"/>
        <color rgb="FF000000"/>
        <rFont val="WenQuanYi Zen Hei"/>
        <family val="2"/>
      </rPr>
      <t xml:space="preserve">実行計画（</t>
    </r>
    <r>
      <rPr>
        <b val="true"/>
        <sz val="9"/>
        <color rgb="FF000000"/>
        <rFont val="Meiryo"/>
        <family val="0"/>
        <charset val="1"/>
      </rPr>
      <t xml:space="preserve">WBS</t>
    </r>
    <r>
      <rPr>
        <b val="true"/>
        <sz val="9"/>
        <color rgb="FF000000"/>
        <rFont val="WenQuanYi Zen Hei"/>
        <family val="2"/>
      </rPr>
      <t xml:space="preserve">）の実現性</t>
    </r>
  </si>
  <si>
    <r>
      <rPr>
        <sz val="8"/>
        <color rgb="FF000000"/>
        <rFont val="Meiryo"/>
        <family val="0"/>
        <charset val="1"/>
      </rPr>
      <t xml:space="preserve">9</t>
    </r>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月の計画に海外拠点ヒアリング統合等の依存関係とクリティカルパスが織り込まれているか</t>
    </r>
  </si>
  <si>
    <r>
      <rPr>
        <sz val="8"/>
        <color rgb="FF000000"/>
        <rFont val="Meiryo"/>
        <family val="0"/>
        <charset val="1"/>
      </rPr>
      <t xml:space="preserve">9</t>
    </r>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月の週次線表と</t>
    </r>
    <r>
      <rPr>
        <sz val="8"/>
        <color rgb="FF000000"/>
        <rFont val="Meiryo"/>
        <family val="0"/>
        <charset val="1"/>
      </rPr>
      <t xml:space="preserve">WBS</t>
    </r>
    <r>
      <rPr>
        <sz val="8"/>
        <color rgb="FF000000"/>
        <rFont val="WenQuanYi Zen Hei"/>
        <family val="2"/>
      </rPr>
      <t xml:space="preserve">別紙（案</t>
    </r>
    <r>
      <rPr>
        <sz val="8"/>
        <color rgb="FF000000"/>
        <rFont val="Meiryo"/>
        <family val="0"/>
        <charset val="1"/>
      </rPr>
      <t xml:space="preserve">)</t>
    </r>
    <r>
      <rPr>
        <sz val="8"/>
        <color rgb="FF000000"/>
        <rFont val="WenQuanYi Zen Hei"/>
        <family val="2"/>
      </rPr>
      <t xml:space="preserve">を提示。ただし海外拠点ヒアリング（</t>
    </r>
    <r>
      <rPr>
        <sz val="8"/>
        <color rgb="FF000000"/>
        <rFont val="Meiryo"/>
        <family val="0"/>
        <charset val="1"/>
      </rPr>
      <t xml:space="preserve">9</t>
    </r>
    <r>
      <rPr>
        <sz val="8"/>
        <color rgb="FF000000"/>
        <rFont val="WenQuanYi Zen Hei"/>
        <family val="2"/>
      </rPr>
      <t xml:space="preserve">月末回収）等の外部依存の統合やクリティカルパスの明示が確認できない。</t>
    </r>
  </si>
  <si>
    <r>
      <rPr>
        <sz val="8"/>
        <color rgb="FF000000"/>
        <rFont val="WenQuanYi Zen Hei"/>
        <family val="2"/>
      </rPr>
      <t xml:space="preserve">週単位の詳細線表と海外拠点ヒアリング結果の取込みを明示。ただし計画期間が</t>
    </r>
    <r>
      <rPr>
        <sz val="8"/>
        <color rgb="FF000000"/>
        <rFont val="Meiryo"/>
        <family val="0"/>
        <charset val="1"/>
      </rPr>
      <t xml:space="preserve">9/7</t>
    </r>
    <r>
      <rPr>
        <sz val="8"/>
        <color rgb="FF000000"/>
        <rFont val="WenQuanYi Zen Hei"/>
        <family val="2"/>
      </rPr>
      <t xml:space="preserve">〜</t>
    </r>
    <r>
      <rPr>
        <sz val="8"/>
        <color rgb="FF000000"/>
        <rFont val="Meiryo"/>
        <family val="0"/>
        <charset val="1"/>
      </rPr>
      <t xml:space="preserve">12/25</t>
    </r>
    <r>
      <rPr>
        <sz val="8"/>
        <color rgb="FF000000"/>
        <rFont val="WenQuanYi Zen Hei"/>
        <family val="2"/>
      </rPr>
      <t xml:space="preserve">で</t>
    </r>
    <r>
      <rPr>
        <sz val="8"/>
        <color rgb="FF000000"/>
        <rFont val="Meiryo"/>
        <family val="0"/>
        <charset val="1"/>
      </rPr>
      <t xml:space="preserve">RFP</t>
    </r>
    <r>
      <rPr>
        <sz val="8"/>
        <color rgb="FF000000"/>
        <rFont val="WenQuanYi Zen Hei"/>
        <family val="2"/>
      </rPr>
      <t xml:space="preserve">発出</t>
    </r>
    <r>
      <rPr>
        <sz val="8"/>
        <color rgb="FF000000"/>
        <rFont val="Meiryo"/>
        <family val="0"/>
        <charset val="1"/>
      </rPr>
      <t xml:space="preserve">12</t>
    </r>
    <r>
      <rPr>
        <sz val="8"/>
        <color rgb="FF000000"/>
        <rFont val="WenQuanYi Zen Hei"/>
        <family val="2"/>
      </rPr>
      <t xml:space="preserve">月末（仮）となっており、「</t>
    </r>
    <r>
      <rPr>
        <sz val="8"/>
        <color rgb="FF000000"/>
        <rFont val="Meiryo"/>
        <family val="0"/>
        <charset val="1"/>
      </rPr>
      <t xml:space="preserve">9</t>
    </r>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月」の</t>
    </r>
    <r>
      <rPr>
        <sz val="8"/>
        <color rgb="FF000000"/>
        <rFont val="Meiryo"/>
        <family val="0"/>
        <charset val="1"/>
      </rPr>
      <t xml:space="preserve">3</t>
    </r>
    <r>
      <rPr>
        <sz val="8"/>
        <color rgb="FF000000"/>
        <rFont val="WenQuanYi Zen Hei"/>
        <family val="2"/>
      </rPr>
      <t xml:space="preserve">ヶ月完遂計画として成立していない。加えて「アプローチ想定作成物」（</t>
    </r>
    <r>
      <rPr>
        <sz val="8"/>
        <color rgb="FF000000"/>
        <rFont val="Meiryo"/>
        <family val="0"/>
        <charset val="1"/>
      </rPr>
      <t xml:space="preserve">P.39</t>
    </r>
    <r>
      <rPr>
        <sz val="8"/>
        <color rgb="FF000000"/>
        <rFont val="WenQuanYi Zen Hei"/>
        <family val="2"/>
      </rPr>
      <t xml:space="preserve">）では</t>
    </r>
    <r>
      <rPr>
        <sz val="8"/>
        <color rgb="FF000000"/>
        <rFont val="Meiryo"/>
        <family val="0"/>
        <charset val="1"/>
      </rPr>
      <t xml:space="preserve">RFP</t>
    </r>
    <r>
      <rPr>
        <sz val="8"/>
        <color rgb="FF000000"/>
        <rFont val="WenQuanYi Zen Hei"/>
        <family val="2"/>
      </rPr>
      <t xml:space="preserve">作成が業務要件定義書・機能</t>
    </r>
    <r>
      <rPr>
        <sz val="8"/>
        <color rgb="FF000000"/>
        <rFont val="Meiryo"/>
        <family val="0"/>
        <charset val="1"/>
      </rPr>
      <t xml:space="preserve">/</t>
    </r>
    <r>
      <rPr>
        <sz val="8"/>
        <color rgb="FF000000"/>
        <rFont val="WenQuanYi Zen Hei"/>
        <family val="2"/>
      </rPr>
      <t xml:space="preserve">非機能要求一覧・移行運用要求一覧・開示レポート一覧・アーキテクチャ素案・</t>
    </r>
    <r>
      <rPr>
        <sz val="8"/>
        <color rgb="FF000000"/>
        <rFont val="Meiryo"/>
        <family val="0"/>
        <charset val="1"/>
      </rPr>
      <t xml:space="preserve">PJ</t>
    </r>
    <r>
      <rPr>
        <sz val="8"/>
        <color rgb="FF000000"/>
        <rFont val="WenQuanYi Zen Hei"/>
        <family val="2"/>
      </rPr>
      <t xml:space="preserve">計画書・展開方針という、ほぼ全ワークストリームの出力を統合する単一の終着点として設計されており、いずれか</t>
    </r>
    <r>
      <rPr>
        <sz val="8"/>
        <color rgb="FF000000"/>
        <rFont val="Meiryo"/>
        <family val="0"/>
        <charset val="1"/>
      </rPr>
      <t xml:space="preserve">1</t>
    </r>
    <r>
      <rPr>
        <sz val="8"/>
        <color rgb="FF000000"/>
        <rFont val="WenQuanYi Zen Hei"/>
        <family val="2"/>
      </rPr>
      <t xml:space="preserve">つが遅延すれば</t>
    </r>
    <r>
      <rPr>
        <sz val="8"/>
        <color rgb="FF000000"/>
        <rFont val="Meiryo"/>
        <family val="0"/>
        <charset val="1"/>
      </rPr>
      <t xml:space="preserve">RFP</t>
    </r>
    <r>
      <rPr>
        <sz val="8"/>
        <color rgb="FF000000"/>
        <rFont val="WenQuanYi Zen Hei"/>
        <family val="2"/>
      </rPr>
      <t xml:space="preserve">発行全体が遅延するクリティカルパス集中構造（★</t>
    </r>
    <r>
      <rPr>
        <sz val="8"/>
        <color rgb="FF000000"/>
        <rFont val="Meiryo"/>
        <family val="0"/>
        <charset val="1"/>
      </rPr>
      <t xml:space="preserve">B12</t>
    </r>
    <r>
      <rPr>
        <sz val="8"/>
        <color rgb="FF000000"/>
        <rFont val="WenQuanYi Zen Hei"/>
        <family val="2"/>
      </rPr>
      <t xml:space="preserve">で緩和策要確認）。</t>
    </r>
  </si>
  <si>
    <r>
      <rPr>
        <sz val="8"/>
        <color rgb="FF000000"/>
        <rFont val="Meiryo"/>
        <family val="0"/>
        <charset val="1"/>
      </rPr>
      <t xml:space="preserve">2028</t>
    </r>
    <r>
      <rPr>
        <sz val="8"/>
        <color rgb="FF000000"/>
        <rFont val="WenQuanYi Zen Hei"/>
        <family val="2"/>
      </rPr>
      <t xml:space="preserve">年</t>
    </r>
    <r>
      <rPr>
        <sz val="8"/>
        <color rgb="FF000000"/>
        <rFont val="Meiryo"/>
        <family val="0"/>
        <charset val="1"/>
      </rPr>
      <t xml:space="preserve">1</t>
    </r>
    <r>
      <rPr>
        <sz val="8"/>
        <color rgb="FF000000"/>
        <rFont val="WenQuanYi Zen Hei"/>
        <family val="2"/>
      </rPr>
      <t xml:space="preserve">月本番収集からの逆線表、</t>
    </r>
    <r>
      <rPr>
        <sz val="8"/>
        <color rgb="FF000000"/>
        <rFont val="Meiryo"/>
        <family val="0"/>
        <charset val="1"/>
      </rPr>
      <t xml:space="preserve">9</t>
    </r>
    <r>
      <rPr>
        <sz val="8"/>
        <color rgb="FF000000"/>
        <rFont val="WenQuanYi Zen Hei"/>
        <family val="2"/>
      </rPr>
      <t xml:space="preserve">月末海外拠点ヒアリング完了のマイルストーン化、候補ベンダーのリスト化・応札意思打診の前倒し等、依存関係とクリティカルパスの織り込みは</t>
    </r>
    <r>
      <rPr>
        <sz val="8"/>
        <color rgb="FF000000"/>
        <rFont val="Meiryo"/>
        <family val="0"/>
        <charset val="1"/>
      </rPr>
      <t xml:space="preserve">3</t>
    </r>
    <r>
      <rPr>
        <sz val="8"/>
        <color rgb="FF000000"/>
        <rFont val="WenQuanYi Zen Hei"/>
        <family val="2"/>
      </rPr>
      <t xml:space="preserve">社中最も明確。ただし全体は</t>
    </r>
    <r>
      <rPr>
        <sz val="8"/>
        <color rgb="FF000000"/>
        <rFont val="Meiryo"/>
        <family val="0"/>
        <charset val="1"/>
      </rPr>
      <t xml:space="preserve">5</t>
    </r>
    <r>
      <rPr>
        <sz val="8"/>
        <color rgb="FF000000"/>
        <rFont val="WenQuanYi Zen Hei"/>
        <family val="2"/>
      </rPr>
      <t xml:space="preserve">ヶ月計画であり</t>
    </r>
    <r>
      <rPr>
        <sz val="8"/>
        <color rgb="FF000000"/>
        <rFont val="Meiryo"/>
        <family val="0"/>
        <charset val="1"/>
      </rPr>
      <t xml:space="preserve">11</t>
    </r>
    <r>
      <rPr>
        <sz val="8"/>
        <color rgb="FF000000"/>
        <rFont val="WenQuanYi Zen Hei"/>
        <family val="2"/>
      </rPr>
      <t xml:space="preserve">月末に収まっていない。</t>
    </r>
  </si>
  <si>
    <t xml:space="preserve">D2</t>
  </si>
  <si>
    <t xml:space="preserve">成果物完遂のコミット</t>
  </si>
  <si>
    <r>
      <rPr>
        <sz val="8"/>
        <color rgb="FF000000"/>
        <rFont val="Meiryo"/>
        <family val="0"/>
        <charset val="1"/>
      </rPr>
      <t xml:space="preserve">11</t>
    </r>
    <r>
      <rPr>
        <sz val="8"/>
        <color rgb="FF000000"/>
        <rFont val="WenQuanYi Zen Hei"/>
        <family val="2"/>
      </rPr>
      <t xml:space="preserve">月末までの「システム</t>
    </r>
    <r>
      <rPr>
        <sz val="8"/>
        <color rgb="FF000000"/>
        <rFont val="Meiryo"/>
        <family val="0"/>
        <charset val="1"/>
      </rPr>
      <t xml:space="preserve">RFP</t>
    </r>
    <r>
      <rPr>
        <sz val="8"/>
        <color rgb="FF000000"/>
        <rFont val="WenQuanYi Zen Hei"/>
        <family val="2"/>
      </rPr>
      <t xml:space="preserve">一式の発行完了」を含む成果物</t>
    </r>
    <r>
      <rPr>
        <sz val="8"/>
        <color rgb="FF000000"/>
        <rFont val="Meiryo"/>
        <family val="0"/>
        <charset val="1"/>
      </rPr>
      <t xml:space="preserve">10</t>
    </r>
    <r>
      <rPr>
        <sz val="8"/>
        <color rgb="FF000000"/>
        <rFont val="WenQuanYi Zen Hei"/>
        <family val="2"/>
      </rPr>
      <t xml:space="preserve">点の完遂を工程表つきで確約しているか</t>
    </r>
  </si>
  <si>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月末時点で作成した成果物に対して貴社承認済み」「次工程で発出する</t>
    </r>
    <r>
      <rPr>
        <sz val="8"/>
        <color rgb="FF000000"/>
        <rFont val="Meiryo"/>
        <family val="0"/>
        <charset val="1"/>
      </rPr>
      <t xml:space="preserve">RFP</t>
    </r>
    <r>
      <rPr>
        <sz val="8"/>
        <color rgb="FF000000"/>
        <rFont val="WenQuanYi Zen Hei"/>
        <family val="2"/>
      </rPr>
      <t xml:space="preserve">の作成が完了」と完了状態を定義し工程表を提示。唯一</t>
    </r>
    <r>
      <rPr>
        <sz val="8"/>
        <color rgb="FF000000"/>
        <rFont val="Meiryo"/>
        <family val="0"/>
        <charset val="1"/>
      </rPr>
      <t xml:space="preserve">11</t>
    </r>
    <r>
      <rPr>
        <sz val="8"/>
        <color rgb="FF000000"/>
        <rFont val="WenQuanYi Zen Hei"/>
        <family val="2"/>
      </rPr>
      <t xml:space="preserve">月末要求に整合。ただし成果物構成（要件定義書</t>
    </r>
    <r>
      <rPr>
        <sz val="8"/>
        <color rgb="FF000000"/>
        <rFont val="Meiryo"/>
        <family val="0"/>
        <charset val="1"/>
      </rPr>
      <t xml:space="preserve">3</t>
    </r>
    <r>
      <rPr>
        <sz val="8"/>
        <color rgb="FF000000"/>
        <rFont val="WenQuanYi Zen Hei"/>
        <family val="2"/>
      </rPr>
      <t xml:space="preserve">点＋</t>
    </r>
    <r>
      <rPr>
        <sz val="8"/>
        <color rgb="FF000000"/>
        <rFont val="Meiryo"/>
        <family val="0"/>
        <charset val="1"/>
      </rPr>
      <t xml:space="preserve">RFP</t>
    </r>
    <r>
      <rPr>
        <sz val="8"/>
        <color rgb="FF000000"/>
        <rFont val="WenQuanYi Zen Hei"/>
        <family val="2"/>
      </rPr>
      <t xml:space="preserve">本紙＋評価要領）と貴社想定成果物</t>
    </r>
    <r>
      <rPr>
        <sz val="8"/>
        <color rgb="FF000000"/>
        <rFont val="Meiryo"/>
        <family val="0"/>
        <charset val="1"/>
      </rPr>
      <t xml:space="preserve">10</t>
    </r>
    <r>
      <rPr>
        <sz val="8"/>
        <color rgb="FF000000"/>
        <rFont val="WenQuanYi Zen Hei"/>
        <family val="2"/>
      </rPr>
      <t xml:space="preserve">点との対応が粗く、対応表を質疑で要確認。</t>
    </r>
  </si>
  <si>
    <r>
      <rPr>
        <sz val="8"/>
        <color rgb="FF000000"/>
        <rFont val="WenQuanYi Zen Hei"/>
        <family val="2"/>
      </rPr>
      <t xml:space="preserve">成果物マッピング表は</t>
    </r>
    <r>
      <rPr>
        <sz val="8"/>
        <color rgb="FF000000"/>
        <rFont val="Meiryo"/>
        <family val="0"/>
        <charset val="1"/>
      </rPr>
      <t xml:space="preserve">3</t>
    </r>
    <r>
      <rPr>
        <sz val="8"/>
        <color rgb="FF000000"/>
        <rFont val="WenQuanYi Zen Hei"/>
        <family val="2"/>
      </rPr>
      <t xml:space="preserve">社中最も丁寧（貴社想定より多い成果物を提示）。ただし</t>
    </r>
    <r>
      <rPr>
        <sz val="8"/>
        <color rgb="FF000000"/>
        <rFont val="Meiryo"/>
        <family val="0"/>
        <charset val="1"/>
      </rPr>
      <t xml:space="preserve">RFP</t>
    </r>
    <r>
      <rPr>
        <sz val="8"/>
        <color rgb="FF000000"/>
        <rFont val="WenQuanYi Zen Hei"/>
        <family val="2"/>
      </rPr>
      <t xml:space="preserve">発出は</t>
    </r>
    <r>
      <rPr>
        <sz val="8"/>
        <color rgb="FF000000"/>
        <rFont val="Meiryo"/>
        <family val="0"/>
        <charset val="1"/>
      </rPr>
      <t xml:space="preserve">12</t>
    </r>
    <r>
      <rPr>
        <sz val="8"/>
        <color rgb="FF000000"/>
        <rFont val="WenQuanYi Zen Hei"/>
        <family val="2"/>
      </rPr>
      <t xml:space="preserve">月末（仮）であり、</t>
    </r>
    <r>
      <rPr>
        <sz val="8"/>
        <color rgb="FF000000"/>
        <rFont val="Meiryo"/>
        <family val="0"/>
        <charset val="1"/>
      </rPr>
      <t xml:space="preserve">11</t>
    </r>
    <r>
      <rPr>
        <sz val="8"/>
        <color rgb="FF000000"/>
        <rFont val="WenQuanYi Zen Hei"/>
        <family val="2"/>
      </rPr>
      <t xml:space="preserve">月末までの「</t>
    </r>
    <r>
      <rPr>
        <sz val="8"/>
        <color rgb="FF000000"/>
        <rFont val="Meiryo"/>
        <family val="0"/>
        <charset val="1"/>
      </rPr>
      <t xml:space="preserve">RFP</t>
    </r>
    <r>
      <rPr>
        <sz val="8"/>
        <color rgb="FF000000"/>
        <rFont val="WenQuanYi Zen Hei"/>
        <family val="2"/>
      </rPr>
      <t xml:space="preserve">一式の発行完了」の確約なし。</t>
    </r>
  </si>
  <si>
    <r>
      <rPr>
        <sz val="8"/>
        <color rgb="FF000000"/>
        <rFont val="WenQuanYi Zen Hei"/>
        <family val="2"/>
      </rPr>
      <t xml:space="preserve">要件定義完了</t>
    </r>
    <r>
      <rPr>
        <sz val="8"/>
        <color rgb="FF000000"/>
        <rFont val="Meiryo"/>
        <family val="0"/>
        <charset val="1"/>
      </rPr>
      <t xml:space="preserve">12</t>
    </r>
    <r>
      <rPr>
        <sz val="8"/>
        <color rgb="FF000000"/>
        <rFont val="WenQuanYi Zen Hei"/>
        <family val="2"/>
      </rPr>
      <t xml:space="preserve">月中旬・</t>
    </r>
    <r>
      <rPr>
        <sz val="8"/>
        <color rgb="FF000000"/>
        <rFont val="Meiryo"/>
        <family val="0"/>
        <charset val="1"/>
      </rPr>
      <t xml:space="preserve">RFP</t>
    </r>
    <r>
      <rPr>
        <sz val="8"/>
        <color rgb="FF000000"/>
        <rFont val="WenQuanYi Zen Hei"/>
        <family val="2"/>
      </rPr>
      <t xml:space="preserve">発行「年内」であり、</t>
    </r>
    <r>
      <rPr>
        <sz val="8"/>
        <color rgb="FF000000"/>
        <rFont val="Meiryo"/>
        <family val="0"/>
        <charset val="1"/>
      </rPr>
      <t xml:space="preserve">11</t>
    </r>
    <r>
      <rPr>
        <sz val="8"/>
        <color rgb="FF000000"/>
        <rFont val="WenQuanYi Zen Hei"/>
        <family val="2"/>
      </rPr>
      <t xml:space="preserve">月末の確約なし。ベンダー評価（</t>
    </r>
    <r>
      <rPr>
        <sz val="8"/>
        <color rgb="FF000000"/>
        <rFont val="Meiryo"/>
        <family val="0"/>
        <charset val="1"/>
      </rPr>
      <t xml:space="preserve">1</t>
    </r>
    <r>
      <rPr>
        <sz val="8"/>
        <color rgb="FF000000"/>
        <rFont val="WenQuanYi Zen Hei"/>
        <family val="2"/>
      </rPr>
      <t xml:space="preserve">月末）まで含む充実したスコープだが、貴社マイルストーンとは約</t>
    </r>
    <r>
      <rPr>
        <sz val="8"/>
        <color rgb="FF000000"/>
        <rFont val="Meiryo"/>
        <family val="0"/>
        <charset val="1"/>
      </rPr>
      <t xml:space="preserve">1</t>
    </r>
    <r>
      <rPr>
        <sz val="8"/>
        <color rgb="FF000000"/>
        <rFont val="WenQuanYi Zen Hei"/>
        <family val="2"/>
      </rPr>
      <t xml:space="preserve">ヶ月のズレ。前倒し可否を質疑で要確認。</t>
    </r>
  </si>
  <si>
    <t xml:space="preserve">D3</t>
  </si>
  <si>
    <t xml:space="preserve">体制の稼働率・継続性</t>
  </si>
  <si>
    <t xml:space="preserve">主要メンバーの稼働率（％）明示、期間中の交代禁止または交代時の品質担保条件、他案件重複の開示</t>
  </si>
  <si>
    <r>
      <rPr>
        <sz val="8"/>
        <color rgb="FF000000"/>
        <rFont val="WenQuanYi Zen Hei"/>
        <family val="2"/>
      </rPr>
      <t xml:space="preserve">フルタイム／パートタイム表記のみで稼働率</t>
    </r>
    <r>
      <rPr>
        <sz val="8"/>
        <color rgb="FF000000"/>
        <rFont val="Meiryo"/>
        <family val="0"/>
        <charset val="1"/>
      </rPr>
      <t xml:space="preserve">%</t>
    </r>
    <r>
      <rPr>
        <sz val="8"/>
        <color rgb="FF000000"/>
        <rFont val="WenQuanYi Zen Hei"/>
        <family val="2"/>
      </rPr>
      <t xml:space="preserve">の明示なし。交代禁止・交代時の品質担保条件なし。主要ポジションの「</t>
    </r>
    <r>
      <rPr>
        <sz val="8"/>
        <color rgb="FF000000"/>
        <rFont val="Meiryo"/>
        <family val="0"/>
        <charset val="1"/>
      </rPr>
      <t xml:space="preserve">or</t>
    </r>
    <r>
      <rPr>
        <sz val="8"/>
        <color rgb="FF000000"/>
        <rFont val="WenQuanYi Zen Hei"/>
        <family val="2"/>
      </rPr>
      <t xml:space="preserve">」表記も継続性上の懸念。</t>
    </r>
  </si>
  <si>
    <r>
      <rPr>
        <sz val="8"/>
        <color rgb="FF000000"/>
        <rFont val="WenQuanYi Zen Hei"/>
        <family val="2"/>
      </rPr>
      <t xml:space="preserve">稼働率</t>
    </r>
    <r>
      <rPr>
        <sz val="8"/>
        <color rgb="FF000000"/>
        <rFont val="Meiryo"/>
        <family val="0"/>
        <charset val="1"/>
      </rPr>
      <t xml:space="preserve">%</t>
    </r>
    <r>
      <rPr>
        <sz val="8"/>
        <color rgb="FF000000"/>
        <rFont val="WenQuanYi Zen Hei"/>
        <family val="2"/>
      </rPr>
      <t xml:space="preserve">を唯一、メンバー別・月別に明示（要求水準に合致）。ただし交代禁止・品質担保条件の記載がなく、</t>
    </r>
    <r>
      <rPr>
        <sz val="8"/>
        <color rgb="FF000000"/>
        <rFont val="Meiryo"/>
        <family val="0"/>
        <charset val="1"/>
      </rPr>
      <t xml:space="preserve">100%</t>
    </r>
    <r>
      <rPr>
        <sz val="8"/>
        <color rgb="FF000000"/>
        <rFont val="WenQuanYi Zen Hei"/>
        <family val="2"/>
      </rPr>
      <t xml:space="preserve">稼働の</t>
    </r>
    <r>
      <rPr>
        <sz val="8"/>
        <color rgb="FF000000"/>
        <rFont val="Meiryo"/>
        <family val="0"/>
        <charset val="1"/>
      </rPr>
      <t xml:space="preserve">3</t>
    </r>
    <r>
      <rPr>
        <sz val="8"/>
        <color rgb="FF000000"/>
        <rFont val="WenQuanYi Zen Hei"/>
        <family val="2"/>
      </rPr>
      <t xml:space="preserve">名が</t>
    </r>
    <r>
      <rPr>
        <sz val="8"/>
        <color rgb="FF000000"/>
        <rFont val="Meiryo"/>
        <family val="0"/>
        <charset val="1"/>
      </rPr>
      <t xml:space="preserve">TBD</t>
    </r>
    <r>
      <rPr>
        <sz val="8"/>
        <color rgb="FF000000"/>
        <rFont val="WenQuanYi Zen Hei"/>
        <family val="2"/>
      </rPr>
      <t xml:space="preserve">である点が減点。</t>
    </r>
  </si>
  <si>
    <r>
      <rPr>
        <sz val="8"/>
        <color rgb="FF000000"/>
        <rFont val="WenQuanYi Zen Hei"/>
        <family val="2"/>
      </rPr>
      <t xml:space="preserve">稼働率</t>
    </r>
    <r>
      <rPr>
        <sz val="8"/>
        <color rgb="FF000000"/>
        <rFont val="Meiryo"/>
        <family val="0"/>
        <charset val="1"/>
      </rPr>
      <t xml:space="preserve">%</t>
    </r>
    <r>
      <rPr>
        <sz val="8"/>
        <color rgb="FF000000"/>
        <rFont val="WenQuanYi Zen Hei"/>
        <family val="2"/>
      </rPr>
      <t xml:space="preserve">の明示なし。「実際の人数はタスクに応じて調整」「参画メンバーは変更になる可能性があります」との注記があり、交代禁止・継続性のコミットが書面上ない。</t>
    </r>
  </si>
  <si>
    <t xml:space="preserve">D4</t>
  </si>
  <si>
    <t xml:space="preserve">遅延リスク管理・手戻り対応</t>
  </si>
  <si>
    <t xml:space="preserve">両輪並行に伴う手戻りの吸収策（バッファ・優先順位ルール・早期警報の仕組み）が計画に組み込まれているか</t>
  </si>
  <si>
    <r>
      <rPr>
        <sz val="8"/>
        <color rgb="FF000000"/>
        <rFont val="WenQuanYi Zen Hei"/>
        <family val="2"/>
      </rPr>
      <t xml:space="preserve">リスク一覧（発生可能性・顕在化防止策・顕在化時対応）を明示。「条件付き要件」により要件未確定でも</t>
    </r>
    <r>
      <rPr>
        <sz val="8"/>
        <color rgb="FF000000"/>
        <rFont val="Meiryo"/>
        <family val="0"/>
        <charset val="1"/>
      </rPr>
      <t xml:space="preserve">RFP</t>
    </r>
    <r>
      <rPr>
        <sz val="8"/>
        <color rgb="FF000000"/>
        <rFont val="WenQuanYi Zen Hei"/>
        <family val="2"/>
      </rPr>
      <t xml:space="preserve">へ進める手戻り吸収策が計画に内蔵されており、両輪並行の前提に整合。</t>
    </r>
  </si>
  <si>
    <t xml:space="preserve">難所⑥として変更連鎖管理を指摘し全体マネジメント機能を設置。ただしバッファ・優先順位ルール・早期警報といった具体的な仕組みの記載はなし。</t>
  </si>
  <si>
    <r>
      <rPr>
        <sz val="8"/>
        <color rgb="FF000000"/>
        <rFont val="WenQuanYi Zen Hei"/>
        <family val="2"/>
      </rPr>
      <t xml:space="preserve">遅延時リカバリ方針の事前合意、マイルストーン・</t>
    </r>
    <r>
      <rPr>
        <sz val="8"/>
        <color rgb="FF000000"/>
        <rFont val="Meiryo"/>
        <family val="0"/>
        <charset val="1"/>
      </rPr>
      <t xml:space="preserve">KPI</t>
    </r>
    <r>
      <rPr>
        <sz val="8"/>
        <color rgb="FF000000"/>
        <rFont val="WenQuanYi Zen Hei"/>
        <family val="2"/>
      </rPr>
      <t xml:space="preserve">モニタリング、選定期間圧縮（応札意思の事前打診・ドラフト</t>
    </r>
    <r>
      <rPr>
        <sz val="8"/>
        <color rgb="FF000000"/>
        <rFont val="Meiryo"/>
        <family val="0"/>
        <charset val="1"/>
      </rPr>
      <t xml:space="preserve">RFP</t>
    </r>
    <r>
      <rPr>
        <sz val="8"/>
        <color rgb="FF000000"/>
        <rFont val="WenQuanYi Zen Hei"/>
        <family val="2"/>
      </rPr>
      <t xml:space="preserve">先行共有）、督促自動化、保証人早期巻き込みによる後出し防止等、遅延・手戻りの予防策が計画に組み込まれている。</t>
    </r>
  </si>
  <si>
    <r>
      <rPr>
        <b val="true"/>
        <sz val="10"/>
        <color rgb="FF000000"/>
        <rFont val="Meiryo"/>
        <family val="0"/>
        <charset val="1"/>
      </rPr>
      <t xml:space="preserve">D </t>
    </r>
    <r>
      <rPr>
        <b val="true"/>
        <sz val="10"/>
        <color rgb="FF000000"/>
        <rFont val="WenQuanYi Zen Hei"/>
        <family val="2"/>
      </rPr>
      <t xml:space="preserve">小計</t>
    </r>
  </si>
  <si>
    <r>
      <rPr>
        <b val="true"/>
        <sz val="11"/>
        <color rgb="FF000000"/>
        <rFont val="WenQuanYi Zen Hei"/>
        <family val="2"/>
      </rPr>
      <t xml:space="preserve">合計（</t>
    </r>
    <r>
      <rPr>
        <b val="true"/>
        <sz val="11"/>
        <color rgb="FF000000"/>
        <rFont val="Meiryo"/>
        <family val="0"/>
        <charset val="1"/>
      </rPr>
      <t xml:space="preserve">Q50</t>
    </r>
    <r>
      <rPr>
        <b val="true"/>
        <sz val="11"/>
        <color rgb="FF000000"/>
        <rFont val="WenQuanYi Zen Hei"/>
        <family val="2"/>
      </rPr>
      <t xml:space="preserve">＋</t>
    </r>
    <r>
      <rPr>
        <b val="true"/>
        <sz val="11"/>
        <color rgb="FF000000"/>
        <rFont val="Meiryo"/>
        <family val="0"/>
        <charset val="1"/>
      </rPr>
      <t xml:space="preserve">C23</t>
    </r>
    <r>
      <rPr>
        <b val="true"/>
        <sz val="11"/>
        <color rgb="FF000000"/>
        <rFont val="WenQuanYi Zen Hei"/>
        <family val="2"/>
      </rPr>
      <t xml:space="preserve">＋</t>
    </r>
    <r>
      <rPr>
        <b val="true"/>
        <sz val="11"/>
        <color rgb="FF000000"/>
        <rFont val="Meiryo"/>
        <family val="0"/>
        <charset val="1"/>
      </rPr>
      <t xml:space="preserve">D27</t>
    </r>
    <r>
      <rPr>
        <b val="true"/>
        <sz val="11"/>
        <color rgb="FF000000"/>
        <rFont val="WenQuanYi Zen Hei"/>
        <family val="2"/>
      </rPr>
      <t xml:space="preserve">）</t>
    </r>
  </si>
  <si>
    <t xml:space="preserve">採点結果サマリ（書面ベース仮採点）</t>
  </si>
  <si>
    <t xml:space="preserve">区分</t>
  </si>
  <si>
    <r>
      <rPr>
        <b val="true"/>
        <sz val="10"/>
        <color rgb="FFFFFFFF"/>
        <rFont val="Meiryo"/>
        <family val="0"/>
        <charset val="1"/>
      </rPr>
      <t xml:space="preserve">A</t>
    </r>
    <r>
      <rPr>
        <b val="true"/>
        <sz val="10"/>
        <color rgb="FFFFFFFF"/>
        <rFont val="WenQuanYi Zen Hei"/>
        <family val="2"/>
      </rPr>
      <t xml:space="preserve">社：ライズ</t>
    </r>
  </si>
  <si>
    <r>
      <rPr>
        <b val="true"/>
        <sz val="10"/>
        <color rgb="FFFFFFFF"/>
        <rFont val="Meiryo"/>
        <family val="0"/>
        <charset val="1"/>
      </rPr>
      <t xml:space="preserve">B</t>
    </r>
    <r>
      <rPr>
        <b val="true"/>
        <sz val="10"/>
        <color rgb="FFFFFFFF"/>
        <rFont val="WenQuanYi Zen Hei"/>
        <family val="2"/>
      </rPr>
      <t xml:space="preserve">社：</t>
    </r>
    <r>
      <rPr>
        <b val="true"/>
        <sz val="10"/>
        <color rgb="FFFFFFFF"/>
        <rFont val="Meiryo"/>
        <family val="0"/>
        <charset val="1"/>
      </rPr>
      <t xml:space="preserve">PwC</t>
    </r>
  </si>
  <si>
    <r>
      <rPr>
        <b val="true"/>
        <sz val="10"/>
        <color rgb="FFFFFFFF"/>
        <rFont val="Meiryo"/>
        <family val="0"/>
        <charset val="1"/>
      </rPr>
      <t xml:space="preserve">C</t>
    </r>
    <r>
      <rPr>
        <b val="true"/>
        <sz val="10"/>
        <color rgb="FFFFFFFF"/>
        <rFont val="WenQuanYi Zen Hei"/>
        <family val="2"/>
      </rPr>
      <t xml:space="preserve">社：アビーム</t>
    </r>
  </si>
  <si>
    <r>
      <rPr>
        <sz val="10"/>
        <color rgb="FF000000"/>
        <rFont val="Meiryo"/>
        <family val="0"/>
        <charset val="1"/>
      </rPr>
      <t xml:space="preserve">Q</t>
    </r>
    <r>
      <rPr>
        <sz val="10"/>
        <color rgb="FF000000"/>
        <rFont val="WenQuanYi Zen Hei"/>
        <family val="2"/>
      </rPr>
      <t xml:space="preserve">：品質</t>
    </r>
  </si>
  <si>
    <r>
      <rPr>
        <sz val="10"/>
        <color rgb="FF000000"/>
        <rFont val="Meiryo"/>
        <family val="0"/>
        <charset val="1"/>
      </rPr>
      <t xml:space="preserve">C</t>
    </r>
    <r>
      <rPr>
        <sz val="10"/>
        <color rgb="FF000000"/>
        <rFont val="WenQuanYi Zen Hei"/>
        <family val="2"/>
      </rPr>
      <t xml:space="preserve">：コスト</t>
    </r>
  </si>
  <si>
    <r>
      <rPr>
        <sz val="10"/>
        <color rgb="FF000000"/>
        <rFont val="Meiryo"/>
        <family val="0"/>
        <charset val="1"/>
      </rPr>
      <t xml:space="preserve">D</t>
    </r>
    <r>
      <rPr>
        <sz val="10"/>
        <color rgb="FF000000"/>
        <rFont val="WenQuanYi Zen Hei"/>
        <family val="2"/>
      </rPr>
      <t xml:space="preserve">：納期</t>
    </r>
  </si>
  <si>
    <t xml:space="preserve">合計</t>
  </si>
  <si>
    <r>
      <rPr>
        <b val="true"/>
        <sz val="9"/>
        <color rgb="FF000000"/>
        <rFont val="WenQuanYi Zen Hei"/>
        <family val="2"/>
      </rPr>
      <t xml:space="preserve">【総評（書面ベース・第</t>
    </r>
    <r>
      <rPr>
        <b val="true"/>
        <sz val="9"/>
        <color rgb="FF000000"/>
        <rFont val="Meiryo"/>
        <family val="0"/>
        <charset val="1"/>
      </rPr>
      <t xml:space="preserve">2</t>
    </r>
    <r>
      <rPr>
        <b val="true"/>
        <sz val="9"/>
        <color rgb="FF000000"/>
        <rFont val="WenQuanYi Zen Hei"/>
        <family val="2"/>
      </rPr>
      <t xml:space="preserve">版）】</t>
    </r>
  </si>
  <si>
    <r>
      <rPr>
        <sz val="9"/>
        <color rgb="FF000000"/>
        <rFont val="Meiryo"/>
        <family val="0"/>
        <charset val="1"/>
      </rPr>
      <t xml:space="preserve">■ C</t>
    </r>
    <r>
      <rPr>
        <sz val="9"/>
        <color rgb="FF000000"/>
        <rFont val="WenQuanYi Zen Hei"/>
        <family val="2"/>
      </rPr>
      <t xml:space="preserve">社アビーム：品質（</t>
    </r>
    <r>
      <rPr>
        <sz val="9"/>
        <color rgb="FF000000"/>
        <rFont val="Meiryo"/>
        <family val="0"/>
        <charset val="1"/>
      </rPr>
      <t xml:space="preserve">Q</t>
    </r>
    <r>
      <rPr>
        <sz val="9"/>
        <color rgb="FF000000"/>
        <rFont val="WenQuanYi Zen Hei"/>
        <family val="2"/>
      </rPr>
      <t xml:space="preserve">）が依然トップだが、</t>
    </r>
    <r>
      <rPr>
        <sz val="9"/>
        <color rgb="FF000000"/>
        <rFont val="Meiryo"/>
        <family val="0"/>
        <charset val="1"/>
      </rPr>
      <t xml:space="preserve">Q2</t>
    </r>
    <r>
      <rPr>
        <sz val="9"/>
        <color rgb="FF000000"/>
        <rFont val="WenQuanYi Zen Hei"/>
        <family val="2"/>
      </rPr>
      <t xml:space="preserve">を</t>
    </r>
    <r>
      <rPr>
        <sz val="9"/>
        <color rgb="FF000000"/>
        <rFont val="Meiryo"/>
        <family val="0"/>
        <charset val="1"/>
      </rPr>
      <t xml:space="preserve">5→4</t>
    </r>
    <r>
      <rPr>
        <sz val="9"/>
        <color rgb="FF000000"/>
        <rFont val="WenQuanYi Zen Hei"/>
        <family val="2"/>
      </rPr>
      <t xml:space="preserve">に補正（難所①の対応方針に提案書内の記述矛盾）。貴社固有の前提理解・アジャイル方法論・実名実績・公認会計士配置は強み。</t>
    </r>
  </si>
  <si>
    <r>
      <rPr>
        <sz val="9"/>
        <color rgb="FF000000"/>
        <rFont val="WenQuanYi Zen Hei"/>
        <family val="2"/>
      </rPr>
      <t xml:space="preserve">　</t>
    </r>
    <r>
      <rPr>
        <sz val="9"/>
        <color rgb="FF000000"/>
        <rFont val="Meiryo"/>
        <family val="0"/>
        <charset val="1"/>
      </rPr>
      <t xml:space="preserve">v1.1</t>
    </r>
    <r>
      <rPr>
        <sz val="9"/>
        <color rgb="FF000000"/>
        <rFont val="WenQuanYi Zen Hei"/>
        <family val="2"/>
      </rPr>
      <t xml:space="preserve">で基本スコープ</t>
    </r>
    <r>
      <rPr>
        <sz val="9"/>
        <color rgb="FF000000"/>
        <rFont val="Meiryo"/>
        <family val="0"/>
        <charset val="1"/>
      </rPr>
      <t xml:space="preserve">(5,300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＋オプション</t>
    </r>
    <r>
      <rPr>
        <sz val="9"/>
        <color rgb="FF000000"/>
        <rFont val="Meiryo"/>
        <family val="0"/>
        <charset val="1"/>
      </rPr>
      <t xml:space="preserve">A/B</t>
    </r>
    <r>
      <rPr>
        <sz val="9"/>
        <color rgb="FF000000"/>
        <rFont val="WenQuanYi Zen Hei"/>
        <family val="2"/>
      </rPr>
      <t xml:space="preserve">に価格分離したが、基本スコープのみでも他社の</t>
    </r>
    <r>
      <rPr>
        <sz val="9"/>
        <color rgb="FF000000"/>
        <rFont val="Meiryo"/>
        <family val="0"/>
        <charset val="1"/>
      </rPr>
      <t xml:space="preserve">1.6</t>
    </r>
    <r>
      <rPr>
        <sz val="9"/>
        <color rgb="FF000000"/>
        <rFont val="WenQuanYi Zen Hei"/>
        <family val="2"/>
      </rPr>
      <t xml:space="preserve">〜</t>
    </r>
    <r>
      <rPr>
        <sz val="9"/>
        <color rgb="FF000000"/>
        <rFont val="Meiryo"/>
        <family val="0"/>
        <charset val="1"/>
      </rPr>
      <t xml:space="preserve">2.2</t>
    </r>
    <r>
      <rPr>
        <sz val="9"/>
        <color rgb="FF000000"/>
        <rFont val="WenQuanYi Zen Hei"/>
        <family val="2"/>
      </rPr>
      <t xml:space="preserve">倍。品質・期間調整後のフェア価格</t>
    </r>
    <r>
      <rPr>
        <sz val="9"/>
        <color rgb="FF000000"/>
        <rFont val="Meiryo"/>
        <family val="0"/>
        <charset val="1"/>
      </rPr>
      <t xml:space="preserve">(3,761</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とのギャップは</t>
    </r>
    <r>
      <rPr>
        <sz val="9"/>
        <color rgb="FF000000"/>
        <rFont val="Meiryo"/>
        <family val="0"/>
        <charset val="1"/>
      </rPr>
      <t xml:space="preserve">+41%</t>
    </r>
    <r>
      <rPr>
        <sz val="9"/>
        <color rgb="FF000000"/>
        <rFont val="WenQuanYi Zen Hei"/>
        <family val="2"/>
      </rPr>
      <t xml:space="preserve">。さらに提案コンセプト</t>
    </r>
    <r>
      <rPr>
        <sz val="9"/>
        <color rgb="FF000000"/>
        <rFont val="Meiryo"/>
        <family val="0"/>
        <charset val="1"/>
      </rPr>
      <t xml:space="preserve">(P.2-3)</t>
    </r>
    <r>
      <rPr>
        <sz val="9"/>
        <color rgb="FF000000"/>
        <rFont val="WenQuanYi Zen Hei"/>
        <family val="2"/>
      </rPr>
      <t xml:space="preserve">が掲げる「守り＝証明できる体制」「攻め＝企業価値向上の実現」の証明工程（内部統制設計方針書</t>
    </r>
    <r>
      <rPr>
        <sz val="9"/>
        <color rgb="FF000000"/>
        <rFont val="Meiryo"/>
        <family val="0"/>
        <charset val="1"/>
      </rPr>
      <t xml:space="preserve">#12</t>
    </r>
    <r>
      <rPr>
        <sz val="9"/>
        <color rgb="FF000000"/>
        <rFont val="WenQuanYi Zen Hei"/>
        <family val="2"/>
      </rPr>
      <t xml:space="preserve">・効果試算</t>
    </r>
    <r>
      <rPr>
        <sz val="9"/>
        <color rgb="FF000000"/>
        <rFont val="Meiryo"/>
        <family val="0"/>
        <charset val="1"/>
      </rPr>
      <t xml:space="preserve">#15</t>
    </r>
    <r>
      <rPr>
        <sz val="9"/>
        <color rgb="FF000000"/>
        <rFont val="WenQuanYi Zen Hei"/>
        <family val="2"/>
      </rPr>
      <t xml:space="preserve">）自体がオプション</t>
    </r>
    <r>
      <rPr>
        <sz val="9"/>
        <color rgb="FF000000"/>
        <rFont val="Meiryo"/>
        <family val="0"/>
        <charset val="1"/>
      </rPr>
      <t xml:space="preserve">B</t>
    </r>
    <r>
      <rPr>
        <sz val="9"/>
        <color rgb="FF000000"/>
        <rFont val="WenQuanYi Zen Hei"/>
        <family val="2"/>
      </rPr>
      <t xml:space="preserve">に切り出されており、基本スコープでは自社の提案コンセプトを完遂できない可能性（★</t>
    </r>
    <r>
      <rPr>
        <sz val="9"/>
        <color rgb="FF000000"/>
        <rFont val="Meiryo"/>
        <family val="0"/>
        <charset val="1"/>
      </rPr>
      <t xml:space="preserve">C10</t>
    </r>
    <r>
      <rPr>
        <sz val="9"/>
        <color rgb="FF000000"/>
        <rFont val="WenQuanYi Zen Hei"/>
        <family val="2"/>
      </rPr>
      <t xml:space="preserve">で解消要）。</t>
    </r>
  </si>
  <si>
    <r>
      <rPr>
        <sz val="9"/>
        <color rgb="FF000000"/>
        <rFont val="Meiryo"/>
        <family val="0"/>
        <charset val="1"/>
      </rPr>
      <t xml:space="preserve">■ B</t>
    </r>
    <r>
      <rPr>
        <sz val="9"/>
        <color rgb="FF000000"/>
        <rFont val="WenQuanYi Zen Hei"/>
        <family val="2"/>
      </rPr>
      <t xml:space="preserve">社</t>
    </r>
    <r>
      <rPr>
        <sz val="9"/>
        <color rgb="FF000000"/>
        <rFont val="Meiryo"/>
        <family val="0"/>
        <charset val="1"/>
      </rPr>
      <t xml:space="preserve">PwC</t>
    </r>
    <r>
      <rPr>
        <sz val="9"/>
        <color rgb="FF000000"/>
        <rFont val="WenQuanYi Zen Hei"/>
        <family val="2"/>
      </rPr>
      <t xml:space="preserve">：</t>
    </r>
    <r>
      <rPr>
        <sz val="9"/>
        <color rgb="FF000000"/>
        <rFont val="Meiryo"/>
        <family val="0"/>
        <charset val="1"/>
      </rPr>
      <t xml:space="preserve">Q1</t>
    </r>
    <r>
      <rPr>
        <sz val="9"/>
        <color rgb="FF000000"/>
        <rFont val="WenQuanYi Zen Hei"/>
        <family val="2"/>
      </rPr>
      <t xml:space="preserve">を</t>
    </r>
    <r>
      <rPr>
        <sz val="9"/>
        <color rgb="FF000000"/>
        <rFont val="Meiryo"/>
        <family val="0"/>
        <charset val="1"/>
      </rPr>
      <t xml:space="preserve">4→3</t>
    </r>
    <r>
      <rPr>
        <sz val="9"/>
        <color rgb="FF000000"/>
        <rFont val="WenQuanYi Zen Hei"/>
        <family val="2"/>
      </rPr>
      <t xml:space="preserve">に補正（依頼理解</t>
    </r>
    <r>
      <rPr>
        <sz val="9"/>
        <color rgb="FF000000"/>
        <rFont val="Meiryo"/>
        <family val="0"/>
        <charset val="1"/>
      </rPr>
      <t xml:space="preserve">P.10</t>
    </r>
    <r>
      <rPr>
        <sz val="9"/>
        <color rgb="FF000000"/>
        <rFont val="WenQuanYi Zen Hei"/>
        <family val="2"/>
      </rPr>
      <t xml:space="preserve">と提案全体のアプローチ図</t>
    </r>
    <r>
      <rPr>
        <sz val="9"/>
        <color rgb="FF000000"/>
        <rFont val="Meiryo"/>
        <family val="0"/>
        <charset val="1"/>
      </rPr>
      <t xml:space="preserve">P.39</t>
    </r>
    <r>
      <rPr>
        <sz val="9"/>
        <color rgb="FF000000"/>
        <rFont val="WenQuanYi Zen Hei"/>
        <family val="2"/>
      </rPr>
      <t xml:space="preserve">の間で、攻めの反映有無に矛盾）。守りの設計力（統制・証跡）と導入実績の定量規模はトップ級。</t>
    </r>
    <r>
      <rPr>
        <sz val="9"/>
        <color rgb="FF000000"/>
        <rFont val="Meiryo"/>
        <family val="0"/>
        <charset val="1"/>
      </rPr>
      <t xml:space="preserve">3</t>
    </r>
    <r>
      <rPr>
        <sz val="9"/>
        <color rgb="FF000000"/>
        <rFont val="WenQuanYi Zen Hei"/>
        <family val="2"/>
      </rPr>
      <t xml:space="preserve">案提示・稼働率</t>
    </r>
    <r>
      <rPr>
        <sz val="9"/>
        <color rgb="FF000000"/>
        <rFont val="Meiryo"/>
        <family val="0"/>
        <charset val="1"/>
      </rPr>
      <t xml:space="preserve">%</t>
    </r>
    <r>
      <rPr>
        <sz val="9"/>
        <color rgb="FF000000"/>
        <rFont val="WenQuanYi Zen Hei"/>
        <family val="2"/>
      </rPr>
      <t xml:space="preserve">開示など透明性は最良で、品質・期間調整後のフェア価格は基準そのもの（ギャップ</t>
    </r>
    <r>
      <rPr>
        <sz val="9"/>
        <color rgb="FF000000"/>
        <rFont val="Meiryo"/>
        <family val="0"/>
        <charset val="1"/>
      </rPr>
      <t xml:space="preserve">±0</t>
    </r>
    <r>
      <rPr>
        <sz val="9"/>
        <color rgb="FF000000"/>
        <rFont val="WenQuanYi Zen Hei"/>
        <family val="2"/>
      </rPr>
      <t xml:space="preserve">）＝</t>
    </r>
    <r>
      <rPr>
        <sz val="9"/>
        <color rgb="FF000000"/>
        <rFont val="Meiryo"/>
        <family val="0"/>
        <charset val="1"/>
      </rPr>
      <t xml:space="preserve">3</t>
    </r>
    <r>
      <rPr>
        <sz val="9"/>
        <color rgb="FF000000"/>
        <rFont val="WenQuanYi Zen Hei"/>
        <family val="2"/>
      </rPr>
      <t xml:space="preserve">社中最も価格効率が良い。</t>
    </r>
  </si>
  <si>
    <r>
      <rPr>
        <sz val="9"/>
        <color rgb="FF000000"/>
        <rFont val="WenQuanYi Zen Hei"/>
        <family val="2"/>
      </rPr>
      <t xml:space="preserve">　致命的な懸念は①実働</t>
    </r>
    <r>
      <rPr>
        <sz val="9"/>
        <color rgb="FF000000"/>
        <rFont val="Meiryo"/>
        <family val="0"/>
        <charset val="1"/>
      </rPr>
      <t xml:space="preserve">3</t>
    </r>
    <r>
      <rPr>
        <sz val="9"/>
        <color rgb="FF000000"/>
        <rFont val="WenQuanYi Zen Hei"/>
        <family val="2"/>
      </rPr>
      <t xml:space="preserve">名（</t>
    </r>
    <r>
      <rPr>
        <sz val="9"/>
        <color rgb="FF000000"/>
        <rFont val="Meiryo"/>
        <family val="0"/>
        <charset val="1"/>
      </rPr>
      <t xml:space="preserve">100%</t>
    </r>
    <r>
      <rPr>
        <sz val="9"/>
        <color rgb="FF000000"/>
        <rFont val="WenQuanYi Zen Hei"/>
        <family val="2"/>
      </rPr>
      <t xml:space="preserve">稼働）が全員</t>
    </r>
    <r>
      <rPr>
        <sz val="9"/>
        <color rgb="FF000000"/>
        <rFont val="Meiryo"/>
        <family val="0"/>
        <charset val="1"/>
      </rPr>
      <t xml:space="preserve">TBD</t>
    </r>
    <r>
      <rPr>
        <sz val="9"/>
        <color rgb="FF000000"/>
        <rFont val="WenQuanYi Zen Hei"/>
        <family val="2"/>
      </rPr>
      <t xml:space="preserve">＝品質の担い手が不明（体制で最も経験豊富な小泉氏はアドバイザー</t>
    </r>
    <r>
      <rPr>
        <sz val="9"/>
        <color rgb="FF000000"/>
        <rFont val="Meiryo"/>
        <family val="0"/>
        <charset val="1"/>
      </rPr>
      <t xml:space="preserve">5%</t>
    </r>
    <r>
      <rPr>
        <sz val="9"/>
        <color rgb="FF000000"/>
        <rFont val="WenQuanYi Zen Hei"/>
        <family val="2"/>
      </rPr>
      <t xml:space="preserve">関与）、②</t>
    </r>
    <r>
      <rPr>
        <sz val="9"/>
        <color rgb="FF000000"/>
        <rFont val="Meiryo"/>
        <family val="0"/>
        <charset val="1"/>
      </rPr>
      <t xml:space="preserve">RFP</t>
    </r>
    <r>
      <rPr>
        <sz val="9"/>
        <color rgb="FF000000"/>
        <rFont val="WenQuanYi Zen Hei"/>
        <family val="2"/>
      </rPr>
      <t xml:space="preserve">発出</t>
    </r>
    <r>
      <rPr>
        <sz val="9"/>
        <color rgb="FF000000"/>
        <rFont val="Meiryo"/>
        <family val="0"/>
        <charset val="1"/>
      </rPr>
      <t xml:space="preserve">12</t>
    </r>
    <r>
      <rPr>
        <sz val="9"/>
        <color rgb="FF000000"/>
        <rFont val="WenQuanYi Zen Hei"/>
        <family val="2"/>
      </rPr>
      <t xml:space="preserve">月末（仮）＝</t>
    </r>
    <r>
      <rPr>
        <sz val="9"/>
        <color rgb="FF000000"/>
        <rFont val="Meiryo"/>
        <family val="0"/>
        <charset val="1"/>
      </rPr>
      <t xml:space="preserve">11</t>
    </r>
    <r>
      <rPr>
        <sz val="9"/>
        <color rgb="FF000000"/>
        <rFont val="WenQuanYi Zen Hei"/>
        <family val="2"/>
      </rPr>
      <t xml:space="preserve">月末要求と不整合、③</t>
    </r>
    <r>
      <rPr>
        <sz val="9"/>
        <color rgb="FF000000"/>
        <rFont val="Meiryo"/>
        <family val="0"/>
        <charset val="1"/>
      </rPr>
      <t xml:space="preserve">RFP</t>
    </r>
    <r>
      <rPr>
        <sz val="9"/>
        <color rgb="FF000000"/>
        <rFont val="WenQuanYi Zen Hei"/>
        <family val="2"/>
      </rPr>
      <t xml:space="preserve">作成への全ワークストリーム統合＝クリティカルパス集中構造、の</t>
    </r>
    <r>
      <rPr>
        <sz val="9"/>
        <color rgb="FF000000"/>
        <rFont val="Meiryo"/>
        <family val="0"/>
        <charset val="1"/>
      </rPr>
      <t xml:space="preserve">3</t>
    </r>
    <r>
      <rPr>
        <sz val="9"/>
        <color rgb="FF000000"/>
        <rFont val="WenQuanYi Zen Hei"/>
        <family val="2"/>
      </rPr>
      <t xml:space="preserve">点。質疑での解消が採用の前提条件。</t>
    </r>
  </si>
  <si>
    <r>
      <rPr>
        <sz val="9"/>
        <color rgb="FF000000"/>
        <rFont val="Meiryo"/>
        <family val="0"/>
        <charset val="1"/>
      </rPr>
      <t xml:space="preserve">■ A</t>
    </r>
    <r>
      <rPr>
        <sz val="9"/>
        <color rgb="FF000000"/>
        <rFont val="WenQuanYi Zen Hei"/>
        <family val="2"/>
      </rPr>
      <t xml:space="preserve">社ライズ：唯一</t>
    </r>
    <r>
      <rPr>
        <sz val="9"/>
        <color rgb="FF000000"/>
        <rFont val="Meiryo"/>
        <family val="0"/>
        <charset val="1"/>
      </rPr>
      <t xml:space="preserve">11</t>
    </r>
    <r>
      <rPr>
        <sz val="9"/>
        <color rgb="FF000000"/>
        <rFont val="WenQuanYi Zen Hei"/>
        <family val="2"/>
      </rPr>
      <t xml:space="preserve">月末</t>
    </r>
    <r>
      <rPr>
        <sz val="9"/>
        <color rgb="FF000000"/>
        <rFont val="Meiryo"/>
        <family val="0"/>
        <charset val="1"/>
      </rPr>
      <t xml:space="preserve">RFP</t>
    </r>
    <r>
      <rPr>
        <sz val="9"/>
        <color rgb="FF000000"/>
        <rFont val="WenQuanYi Zen Hei"/>
        <family val="2"/>
      </rPr>
      <t xml:space="preserve">完成にコミットし絶対額も最安（値引後</t>
    </r>
    <r>
      <rPr>
        <sz val="9"/>
        <color rgb="FF000000"/>
        <rFont val="Meiryo"/>
        <family val="0"/>
        <charset val="1"/>
      </rPr>
      <t xml:space="preserve">2,400</t>
    </r>
    <r>
      <rPr>
        <sz val="9"/>
        <color rgb="FF000000"/>
        <rFont val="WenQuanYi Zen Hei"/>
        <family val="2"/>
      </rPr>
      <t xml:space="preserve">万円）。ただし期間正規化した品質調整後フェア価格</t>
    </r>
    <r>
      <rPr>
        <sz val="9"/>
        <color rgb="FF000000"/>
        <rFont val="Meiryo"/>
        <family val="0"/>
        <charset val="1"/>
      </rPr>
      <t xml:space="preserve">(1,805</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との比較では実質</t>
    </r>
    <r>
      <rPr>
        <sz val="9"/>
        <color rgb="FF000000"/>
        <rFont val="Meiryo"/>
        <family val="0"/>
        <charset val="1"/>
      </rPr>
      <t xml:space="preserve">+33%</t>
    </r>
    <r>
      <rPr>
        <sz val="9"/>
        <color rgb="FF000000"/>
        <rFont val="WenQuanYi Zen Hei"/>
        <family val="2"/>
      </rPr>
      <t xml:space="preserve">のギャップがあり、「最安値」は必ずしも「最良の価格効率」を意味しない。</t>
    </r>
  </si>
  <si>
    <r>
      <rPr>
        <sz val="9"/>
        <color rgb="FF000000"/>
        <rFont val="WenQuanYi Zen Hei"/>
        <family val="2"/>
      </rPr>
      <t xml:space="preserve">　全</t>
    </r>
    <r>
      <rPr>
        <sz val="9"/>
        <color rgb="FF000000"/>
        <rFont val="Meiryo"/>
        <family val="0"/>
        <charset val="1"/>
      </rPr>
      <t xml:space="preserve">5</t>
    </r>
    <r>
      <rPr>
        <sz val="9"/>
        <color rgb="FF000000"/>
        <rFont val="WenQuanYi Zen Hei"/>
        <family val="2"/>
      </rPr>
      <t xml:space="preserve">難所で</t>
    </r>
    <r>
      <rPr>
        <sz val="9"/>
        <color rgb="FF000000"/>
        <rFont val="Meiryo"/>
        <family val="0"/>
        <charset val="1"/>
      </rPr>
      <t xml:space="preserve">L1</t>
    </r>
    <r>
      <rPr>
        <sz val="9"/>
        <color rgb="FF000000"/>
        <rFont val="WenQuanYi Zen Hei"/>
        <family val="2"/>
      </rPr>
      <t xml:space="preserve">〜</t>
    </r>
    <r>
      <rPr>
        <sz val="9"/>
        <color rgb="FF000000"/>
        <rFont val="Meiryo"/>
        <family val="0"/>
        <charset val="1"/>
      </rPr>
      <t xml:space="preserve">L2</t>
    </r>
    <r>
      <rPr>
        <sz val="9"/>
        <color rgb="FF000000"/>
        <rFont val="WenQuanYi Zen Hei"/>
        <family val="2"/>
      </rPr>
      <t xml:space="preserve">（初期仮説・基本方針）に留まり、独立したアーキテクチャ図・データ要件定義書・ユースケース優先順位付けが成果物一覧にない。</t>
    </r>
    <r>
      <rPr>
        <sz val="9"/>
        <color rgb="FF000000"/>
        <rFont val="Meiryo"/>
        <family val="0"/>
        <charset val="1"/>
      </rPr>
      <t xml:space="preserve">SSBJ</t>
    </r>
    <r>
      <rPr>
        <sz val="9"/>
        <color rgb="FF000000"/>
        <rFont val="WenQuanYi Zen Hei"/>
        <family val="2"/>
      </rPr>
      <t xml:space="preserve">固有の会社実績が</t>
    </r>
    <r>
      <rPr>
        <sz val="9"/>
        <color rgb="FF000000"/>
        <rFont val="Meiryo"/>
        <family val="0"/>
        <charset val="1"/>
      </rPr>
      <t xml:space="preserve">4</t>
    </r>
    <r>
      <rPr>
        <sz val="9"/>
        <color rgb="FF000000"/>
        <rFont val="WenQuanYi Zen Hei"/>
        <family val="2"/>
      </rPr>
      <t xml:space="preserve">点セットで示されず、主要メンバーが「</t>
    </r>
    <r>
      <rPr>
        <sz val="9"/>
        <color rgb="FF000000"/>
        <rFont val="Meiryo"/>
        <family val="0"/>
        <charset val="1"/>
      </rPr>
      <t xml:space="preserve">or</t>
    </r>
    <r>
      <rPr>
        <sz val="9"/>
        <color rgb="FF000000"/>
        <rFont val="WenQuanYi Zen Hei"/>
        <family val="2"/>
      </rPr>
      <t xml:space="preserve">」表記で未確定、システム連携の実務経験を持つメンバーも見当たらない。</t>
    </r>
    <r>
      <rPr>
        <sz val="9"/>
        <color rgb="FF000000"/>
        <rFont val="Meiryo"/>
        <family val="0"/>
        <charset val="1"/>
      </rPr>
      <t xml:space="preserve">32%</t>
    </r>
    <r>
      <rPr>
        <sz val="9"/>
        <color rgb="FF000000"/>
        <rFont val="WenQuanYi Zen Hei"/>
        <family val="2"/>
      </rPr>
      <t xml:space="preserve">値引きの実態確認が必要。</t>
    </r>
  </si>
  <si>
    <r>
      <rPr>
        <b val="true"/>
        <sz val="9"/>
        <color rgb="FF000000"/>
        <rFont val="WenQuanYi Zen Hei"/>
        <family val="2"/>
      </rPr>
      <t xml:space="preserve">【コンペ質疑での必須確認事項（詳細は質問票 全</t>
    </r>
    <r>
      <rPr>
        <b val="true"/>
        <sz val="9"/>
        <color rgb="FF000000"/>
        <rFont val="Meiryo"/>
        <family val="0"/>
        <charset val="1"/>
      </rPr>
      <t xml:space="preserve">42</t>
    </r>
    <r>
      <rPr>
        <b val="true"/>
        <sz val="9"/>
        <color rgb="FF000000"/>
        <rFont val="WenQuanYi Zen Hei"/>
        <family val="2"/>
      </rPr>
      <t xml:space="preserve">問を参照）】</t>
    </r>
  </si>
  <si>
    <r>
      <rPr>
        <sz val="9"/>
        <color rgb="FF000000"/>
        <rFont val="WenQuanYi Zen Hei"/>
        <family val="2"/>
      </rPr>
      <t xml:space="preserve">・全社共通：貴社想定成果物</t>
    </r>
    <r>
      <rPr>
        <sz val="9"/>
        <color rgb="FF000000"/>
        <rFont val="Meiryo"/>
        <family val="0"/>
        <charset val="1"/>
      </rPr>
      <t xml:space="preserve">10</t>
    </r>
    <r>
      <rPr>
        <sz val="9"/>
        <color rgb="FF000000"/>
        <rFont val="WenQuanYi Zen Hei"/>
        <family val="2"/>
      </rPr>
      <t xml:space="preserve">点との対応表／「</t>
    </r>
    <r>
      <rPr>
        <sz val="9"/>
        <color rgb="FF000000"/>
        <rFont val="Meiryo"/>
        <family val="0"/>
        <charset val="1"/>
      </rPr>
      <t xml:space="preserve">11</t>
    </r>
    <r>
      <rPr>
        <sz val="9"/>
        <color rgb="FF000000"/>
        <rFont val="WenQuanYi Zen Hei"/>
        <family val="2"/>
      </rPr>
      <t xml:space="preserve">月末</t>
    </r>
    <r>
      <rPr>
        <sz val="9"/>
        <color rgb="FF000000"/>
        <rFont val="Meiryo"/>
        <family val="0"/>
        <charset val="1"/>
      </rPr>
      <t xml:space="preserve">RFP</t>
    </r>
    <r>
      <rPr>
        <sz val="9"/>
        <color rgb="FF000000"/>
        <rFont val="WenQuanYi Zen Hei"/>
        <family val="2"/>
      </rPr>
      <t xml:space="preserve">発行完了」の達成可否と前提／ランク別単価</t>
    </r>
    <r>
      <rPr>
        <sz val="9"/>
        <color rgb="FF000000"/>
        <rFont val="Meiryo"/>
        <family val="0"/>
        <charset val="1"/>
      </rPr>
      <t xml:space="preserve">×</t>
    </r>
    <r>
      <rPr>
        <sz val="9"/>
        <color rgb="FF000000"/>
        <rFont val="WenQuanYi Zen Hei"/>
        <family val="2"/>
      </rPr>
      <t xml:space="preserve">稼働率</t>
    </r>
    <r>
      <rPr>
        <sz val="9"/>
        <color rgb="FF000000"/>
        <rFont val="Meiryo"/>
        <family val="0"/>
        <charset val="1"/>
      </rPr>
      <t xml:space="preserve">×</t>
    </r>
    <r>
      <rPr>
        <sz val="9"/>
        <color rgb="FF000000"/>
        <rFont val="WenQuanYi Zen Hei"/>
        <family val="2"/>
      </rPr>
      <t xml:space="preserve">期間の内訳（統一フォーマット）／</t>
    </r>
    <r>
      <rPr>
        <sz val="9"/>
        <color rgb="FF000000"/>
        <rFont val="Meiryo"/>
        <family val="0"/>
        <charset val="1"/>
      </rPr>
      <t xml:space="preserve">5</t>
    </r>
    <r>
      <rPr>
        <sz val="9"/>
        <color rgb="FF000000"/>
        <rFont val="WenQuanYi Zen Hei"/>
        <family val="2"/>
      </rPr>
      <t xml:space="preserve">つの難所の自己採点（当社照合結果との差異）</t>
    </r>
  </si>
  <si>
    <r>
      <rPr>
        <sz val="9"/>
        <color rgb="FF000000"/>
        <rFont val="WenQuanYi Zen Hei"/>
        <family val="2"/>
      </rPr>
      <t xml:space="preserve">・</t>
    </r>
    <r>
      <rPr>
        <sz val="9"/>
        <color rgb="FF000000"/>
        <rFont val="Meiryo"/>
        <family val="0"/>
        <charset val="1"/>
      </rPr>
      <t xml:space="preserve">A</t>
    </r>
    <r>
      <rPr>
        <sz val="9"/>
        <color rgb="FF000000"/>
        <rFont val="WenQuanYi Zen Hei"/>
        <family val="2"/>
      </rPr>
      <t xml:space="preserve">社：値引きの持続性（次フェーズ単価）／</t>
    </r>
    <r>
      <rPr>
        <sz val="9"/>
        <color rgb="FF000000"/>
        <rFont val="Meiryo"/>
        <family val="0"/>
        <charset val="1"/>
      </rPr>
      <t xml:space="preserve">PM</t>
    </r>
    <r>
      <rPr>
        <sz val="9"/>
        <color rgb="FF000000"/>
        <rFont val="WenQuanYi Zen Hei"/>
        <family val="2"/>
      </rPr>
      <t xml:space="preserve">・リードの確定と本人出席／</t>
    </r>
    <r>
      <rPr>
        <sz val="9"/>
        <color rgb="FF000000"/>
        <rFont val="Meiryo"/>
        <family val="0"/>
        <charset val="1"/>
      </rPr>
      <t xml:space="preserve">SSBJ</t>
    </r>
    <r>
      <rPr>
        <sz val="9"/>
        <color rgb="FF000000"/>
        <rFont val="WenQuanYi Zen Hei"/>
        <family val="2"/>
      </rPr>
      <t xml:space="preserve">類似案件の会社実績／不足成果物（アーキテクチャ図等）の追加見積り</t>
    </r>
  </si>
  <si>
    <r>
      <rPr>
        <sz val="9"/>
        <color rgb="FF000000"/>
        <rFont val="WenQuanYi Zen Hei"/>
        <family val="2"/>
      </rPr>
      <t xml:space="preserve">・</t>
    </r>
    <r>
      <rPr>
        <sz val="9"/>
        <color rgb="FF000000"/>
        <rFont val="Meiryo"/>
        <family val="0"/>
        <charset val="1"/>
      </rPr>
      <t xml:space="preserve">B</t>
    </r>
    <r>
      <rPr>
        <sz val="9"/>
        <color rgb="FF000000"/>
        <rFont val="WenQuanYi Zen Hei"/>
        <family val="2"/>
      </rPr>
      <t xml:space="preserve">社：実働</t>
    </r>
    <r>
      <rPr>
        <sz val="9"/>
        <color rgb="FF000000"/>
        <rFont val="Meiryo"/>
        <family val="0"/>
        <charset val="1"/>
      </rPr>
      <t xml:space="preserve">3</t>
    </r>
    <r>
      <rPr>
        <sz val="9"/>
        <color rgb="FF000000"/>
        <rFont val="WenQuanYi Zen Hei"/>
        <family val="2"/>
      </rPr>
      <t xml:space="preserve">名の実名・経歴の提示／</t>
    </r>
    <r>
      <rPr>
        <sz val="9"/>
        <color rgb="FF000000"/>
        <rFont val="Meiryo"/>
        <family val="0"/>
        <charset val="1"/>
      </rPr>
      <t xml:space="preserve">11</t>
    </r>
    <r>
      <rPr>
        <sz val="9"/>
        <color rgb="FF000000"/>
        <rFont val="WenQuanYi Zen Hei"/>
        <family val="2"/>
      </rPr>
      <t xml:space="preserve">月末完了へ前倒しした場合の体制・金額／依頼理解</t>
    </r>
    <r>
      <rPr>
        <sz val="9"/>
        <color rgb="FF000000"/>
        <rFont val="Meiryo"/>
        <family val="0"/>
        <charset val="1"/>
      </rPr>
      <t xml:space="preserve">(P.10)</t>
    </r>
    <r>
      <rPr>
        <sz val="9"/>
        <color rgb="FF000000"/>
        <rFont val="WenQuanYi Zen Hei"/>
        <family val="2"/>
      </rPr>
      <t xml:space="preserve">と実行計画</t>
    </r>
    <r>
      <rPr>
        <sz val="9"/>
        <color rgb="FF000000"/>
        <rFont val="Meiryo"/>
        <family val="0"/>
        <charset val="1"/>
      </rPr>
      <t xml:space="preserve">(P.28/P.39)</t>
    </r>
    <r>
      <rPr>
        <sz val="9"/>
        <color rgb="FF000000"/>
        <rFont val="WenQuanYi Zen Hei"/>
        <family val="2"/>
      </rPr>
      <t xml:space="preserve">の攻め反映有無の矛盾解消／「提案スコープ」点線の境界明確化</t>
    </r>
  </si>
  <si>
    <r>
      <rPr>
        <sz val="9"/>
        <color rgb="FF000000"/>
        <rFont val="WenQuanYi Zen Hei"/>
        <family val="2"/>
      </rPr>
      <t xml:space="preserve">・</t>
    </r>
    <r>
      <rPr>
        <sz val="9"/>
        <color rgb="FF000000"/>
        <rFont val="Meiryo"/>
        <family val="0"/>
        <charset val="1"/>
      </rPr>
      <t xml:space="preserve">C</t>
    </r>
    <r>
      <rPr>
        <sz val="9"/>
        <color rgb="FF000000"/>
        <rFont val="WenQuanYi Zen Hei"/>
        <family val="2"/>
      </rPr>
      <t xml:space="preserve">社：基本スコープの単価内訳（ランク別）／</t>
    </r>
    <r>
      <rPr>
        <sz val="9"/>
        <color rgb="FF000000"/>
        <rFont val="Meiryo"/>
        <family val="0"/>
        <charset val="1"/>
      </rPr>
      <t xml:space="preserve">11</t>
    </r>
    <r>
      <rPr>
        <sz val="9"/>
        <color rgb="FF000000"/>
        <rFont val="WenQuanYi Zen Hei"/>
        <family val="2"/>
      </rPr>
      <t xml:space="preserve">月末前倒しの可否／提案コンセプト</t>
    </r>
    <r>
      <rPr>
        <sz val="9"/>
        <color rgb="FF000000"/>
        <rFont val="Meiryo"/>
        <family val="0"/>
        <charset val="1"/>
      </rPr>
      <t xml:space="preserve">(</t>
    </r>
    <r>
      <rPr>
        <sz val="9"/>
        <color rgb="FF000000"/>
        <rFont val="WenQuanYi Zen Hei"/>
        <family val="2"/>
      </rPr>
      <t xml:space="preserve">守り・攻め</t>
    </r>
    <r>
      <rPr>
        <sz val="9"/>
        <color rgb="FF000000"/>
        <rFont val="Meiryo"/>
        <family val="0"/>
        <charset val="1"/>
      </rPr>
      <t xml:space="preserve">)</t>
    </r>
    <r>
      <rPr>
        <sz val="9"/>
        <color rgb="FF000000"/>
        <rFont val="WenQuanYi Zen Hei"/>
        <family val="2"/>
      </rPr>
      <t xml:space="preserve">の証明工程がオプション</t>
    </r>
    <r>
      <rPr>
        <sz val="9"/>
        <color rgb="FF000000"/>
        <rFont val="Meiryo"/>
        <family val="0"/>
        <charset val="1"/>
      </rPr>
      <t xml:space="preserve">B</t>
    </r>
    <r>
      <rPr>
        <sz val="9"/>
        <color rgb="FF000000"/>
        <rFont val="WenQuanYi Zen Hei"/>
        <family val="2"/>
      </rPr>
      <t xml:space="preserve">である理由／難所①の対応方針の記述矛盾解消</t>
    </r>
  </si>
  <si>
    <r>
      <rPr>
        <b val="true"/>
        <sz val="13"/>
        <color rgb="FFFFFFFF"/>
        <rFont val="WenQuanYi Zen Hei"/>
        <family val="2"/>
      </rPr>
      <t xml:space="preserve">金額差の要因分析と</t>
    </r>
    <r>
      <rPr>
        <b val="true"/>
        <sz val="13"/>
        <color rgb="FFFFFFFF"/>
        <rFont val="Meiryo"/>
        <family val="0"/>
        <charset val="1"/>
      </rPr>
      <t xml:space="preserve">Apple to Apple</t>
    </r>
    <r>
      <rPr>
        <b val="true"/>
        <sz val="13"/>
        <color rgb="FFFFFFFF"/>
        <rFont val="WenQuanYi Zen Hei"/>
        <family val="2"/>
      </rPr>
      <t xml:space="preserve">化の方法</t>
    </r>
  </si>
  <si>
    <r>
      <rPr>
        <sz val="9"/>
        <color rgb="FF000000"/>
        <rFont val="WenQuanYi Zen Hei"/>
        <family val="2"/>
      </rPr>
      <t xml:space="preserve">※金額比較の前に、まず成果物レベルでスコープの広さ・深さを照合する（下表）。</t>
    </r>
    <r>
      <rPr>
        <sz val="9"/>
        <color rgb="FF000000"/>
        <rFont val="Meiryo"/>
        <family val="0"/>
        <charset val="1"/>
      </rPr>
      <t xml:space="preserve">3</t>
    </r>
    <r>
      <rPr>
        <sz val="9"/>
        <color rgb="FF000000"/>
        <rFont val="WenQuanYi Zen Hei"/>
        <family val="2"/>
      </rPr>
      <t xml:space="preserve">社の「基本スコープ」は同じ深さではなく、ズレは双方向（アビームが広い部分／</t>
    </r>
    <r>
      <rPr>
        <sz val="9"/>
        <color rgb="FF000000"/>
        <rFont val="Meiryo"/>
        <family val="0"/>
        <charset val="1"/>
      </rPr>
      <t xml:space="preserve">PwC</t>
    </r>
    <r>
      <rPr>
        <sz val="9"/>
        <color rgb="FF000000"/>
        <rFont val="WenQuanYi Zen Hei"/>
        <family val="2"/>
      </rPr>
      <t xml:space="preserve">が広い部分の両方が存在）であり、金額差を単純にスコープだけで説明することはできない。</t>
    </r>
  </si>
  <si>
    <t xml:space="preserve">① 成果物カバレッジ比較（基本スコープ内で明示されているか）</t>
  </si>
  <si>
    <t xml:space="preserve">成果物・タスク</t>
  </si>
  <si>
    <r>
      <rPr>
        <b val="true"/>
        <sz val="9"/>
        <color rgb="FFFFFFFF"/>
        <rFont val="Meiryo"/>
        <family val="0"/>
        <charset val="1"/>
      </rPr>
      <t xml:space="preserve">A</t>
    </r>
    <r>
      <rPr>
        <b val="true"/>
        <sz val="9"/>
        <color rgb="FFFFFFFF"/>
        <rFont val="WenQuanYi Zen Hei"/>
        <family val="2"/>
      </rPr>
      <t xml:space="preserve">社：ライズ</t>
    </r>
  </si>
  <si>
    <r>
      <rPr>
        <b val="true"/>
        <sz val="9"/>
        <color rgb="FFFFFFFF"/>
        <rFont val="Meiryo"/>
        <family val="0"/>
        <charset val="1"/>
      </rPr>
      <t xml:space="preserve">B</t>
    </r>
    <r>
      <rPr>
        <b val="true"/>
        <sz val="9"/>
        <color rgb="FFFFFFFF"/>
        <rFont val="WenQuanYi Zen Hei"/>
        <family val="2"/>
      </rPr>
      <t xml:space="preserve">社：</t>
    </r>
    <r>
      <rPr>
        <b val="true"/>
        <sz val="9"/>
        <color rgb="FFFFFFFF"/>
        <rFont val="Meiryo"/>
        <family val="0"/>
        <charset val="1"/>
      </rPr>
      <t xml:space="preserve">PwC(</t>
    </r>
    <r>
      <rPr>
        <b val="true"/>
        <sz val="9"/>
        <color rgb="FFFFFFFF"/>
        <rFont val="WenQuanYi Zen Hei"/>
        <family val="2"/>
      </rPr>
      <t xml:space="preserve">案②</t>
    </r>
    <r>
      <rPr>
        <b val="true"/>
        <sz val="9"/>
        <color rgb="FFFFFFFF"/>
        <rFont val="Meiryo"/>
        <family val="0"/>
        <charset val="1"/>
      </rPr>
      <t xml:space="preserve">27M)</t>
    </r>
  </si>
  <si>
    <r>
      <rPr>
        <b val="true"/>
        <sz val="9"/>
        <color rgb="FFFFFFFF"/>
        <rFont val="Meiryo"/>
        <family val="0"/>
        <charset val="1"/>
      </rPr>
      <t xml:space="preserve">C</t>
    </r>
    <r>
      <rPr>
        <b val="true"/>
        <sz val="9"/>
        <color rgb="FFFFFFFF"/>
        <rFont val="WenQuanYi Zen Hei"/>
        <family val="2"/>
      </rPr>
      <t xml:space="preserve">社：アビーム</t>
    </r>
    <r>
      <rPr>
        <b val="true"/>
        <sz val="9"/>
        <color rgb="FFFFFFFF"/>
        <rFont val="Meiryo"/>
        <family val="0"/>
        <charset val="1"/>
      </rPr>
      <t xml:space="preserve">(</t>
    </r>
    <r>
      <rPr>
        <b val="true"/>
        <sz val="9"/>
        <color rgb="FFFFFFFF"/>
        <rFont val="WenQuanYi Zen Hei"/>
        <family val="2"/>
      </rPr>
      <t xml:space="preserve">基本</t>
    </r>
    <r>
      <rPr>
        <b val="true"/>
        <sz val="9"/>
        <color rgb="FFFFFFFF"/>
        <rFont val="Meiryo"/>
        <family val="0"/>
        <charset val="1"/>
      </rPr>
      <t xml:space="preserve">53M)</t>
    </r>
  </si>
  <si>
    <t xml:space="preserve">備考</t>
  </si>
  <si>
    <r>
      <rPr>
        <b val="true"/>
        <sz val="8"/>
        <color rgb="FF000000"/>
        <rFont val="WenQuanYi Zen Hei"/>
        <family val="2"/>
      </rPr>
      <t xml:space="preserve">業務要件定義書（</t>
    </r>
    <r>
      <rPr>
        <b val="true"/>
        <sz val="8"/>
        <color rgb="FF000000"/>
        <rFont val="Meiryo"/>
        <family val="0"/>
        <charset val="1"/>
      </rPr>
      <t xml:space="preserve">RACI</t>
    </r>
    <r>
      <rPr>
        <b val="true"/>
        <sz val="8"/>
        <color rgb="FF000000"/>
        <rFont val="WenQuanYi Zen Hei"/>
        <family val="2"/>
      </rPr>
      <t xml:space="preserve">・承認プロセス・業務ルール）</t>
    </r>
  </si>
  <si>
    <t xml:space="preserve">○</t>
  </si>
  <si>
    <t xml:space="preserve">○(1-4)</t>
  </si>
  <si>
    <t xml:space="preserve">○(#5)</t>
  </si>
  <si>
    <r>
      <rPr>
        <sz val="8"/>
        <color rgb="FF000000"/>
        <rFont val="Meiryo"/>
        <family val="0"/>
        <charset val="1"/>
      </rPr>
      <t xml:space="preserve">3</t>
    </r>
    <r>
      <rPr>
        <sz val="8"/>
        <color rgb="FF000000"/>
        <rFont val="WenQuanYi Zen Hei"/>
        <family val="2"/>
      </rPr>
      <t xml:space="preserve">社共通</t>
    </r>
  </si>
  <si>
    <t xml:space="preserve">機能要件定義書（画面・帳票・データ連携・権限、独立文書）</t>
  </si>
  <si>
    <r>
      <rPr>
        <sz val="8"/>
        <color rgb="FF000000"/>
        <rFont val="Meiryo"/>
        <family val="0"/>
        <charset val="1"/>
      </rPr>
      <t xml:space="preserve">△(1-4</t>
    </r>
    <r>
      <rPr>
        <sz val="8"/>
        <color rgb="FF000000"/>
        <rFont val="WenQuanYi Zen Hei"/>
        <family val="2"/>
      </rPr>
      <t xml:space="preserve">に含むか不明、独立文書として非明記</t>
    </r>
    <r>
      <rPr>
        <sz val="8"/>
        <color rgb="FF000000"/>
        <rFont val="Meiryo"/>
        <family val="0"/>
        <charset val="1"/>
      </rPr>
      <t xml:space="preserve">)</t>
    </r>
  </si>
  <si>
    <r>
      <rPr>
        <sz val="8"/>
        <color rgb="FF000000"/>
        <rFont val="Meiryo"/>
        <family val="0"/>
        <charset val="1"/>
      </rPr>
      <t xml:space="preserve">○(#6</t>
    </r>
    <r>
      <rPr>
        <sz val="8"/>
        <color rgb="FF000000"/>
        <rFont val="WenQuanYi Zen Hei"/>
        <family val="2"/>
      </rPr>
      <t xml:space="preserve">、独立文書</t>
    </r>
    <r>
      <rPr>
        <sz val="8"/>
        <color rgb="FF000000"/>
        <rFont val="Meiryo"/>
        <family val="0"/>
        <charset val="1"/>
      </rPr>
      <t xml:space="preserve">)</t>
    </r>
  </si>
  <si>
    <r>
      <rPr>
        <sz val="8"/>
        <color rgb="FF000000"/>
        <rFont val="Meiryo"/>
        <family val="0"/>
        <charset val="1"/>
      </rPr>
      <t xml:space="preserve">PwC</t>
    </r>
    <r>
      <rPr>
        <sz val="8"/>
        <color rgb="FF000000"/>
        <rFont val="WenQuanYi Zen Hei"/>
        <family val="2"/>
      </rPr>
      <t xml:space="preserve">の案②価格表には独立タスクの明記なし</t>
    </r>
  </si>
  <si>
    <r>
      <rPr>
        <b val="true"/>
        <sz val="8"/>
        <color rgb="FF000000"/>
        <rFont val="WenQuanYi Zen Hei"/>
        <family val="2"/>
      </rPr>
      <t xml:space="preserve">データ要件定義書（データ項目・粒度・マッピング・一次</t>
    </r>
    <r>
      <rPr>
        <b val="true"/>
        <sz val="8"/>
        <color rgb="FF000000"/>
        <rFont val="Meiryo"/>
        <family val="0"/>
        <charset val="1"/>
      </rPr>
      <t xml:space="preserve">/</t>
    </r>
    <r>
      <rPr>
        <b val="true"/>
        <sz val="8"/>
        <color rgb="FF000000"/>
        <rFont val="WenQuanYi Zen Hei"/>
        <family val="2"/>
      </rPr>
      <t xml:space="preserve">二次ソース区分）</t>
    </r>
  </si>
  <si>
    <r>
      <rPr>
        <sz val="8"/>
        <color rgb="FF000000"/>
        <rFont val="Meiryo"/>
        <family val="0"/>
        <charset val="1"/>
      </rPr>
      <t xml:space="preserve">△(</t>
    </r>
    <r>
      <rPr>
        <sz val="8"/>
        <color rgb="FF000000"/>
        <rFont val="WenQuanYi Zen Hei"/>
        <family val="2"/>
      </rPr>
      <t xml:space="preserve">機能要件定義書の「情報・連携」に軽度含む</t>
    </r>
    <r>
      <rPr>
        <sz val="8"/>
        <color rgb="FF000000"/>
        <rFont val="Meiryo"/>
        <family val="0"/>
        <charset val="1"/>
      </rPr>
      <t xml:space="preserve">)</t>
    </r>
  </si>
  <si>
    <r>
      <rPr>
        <sz val="8"/>
        <color rgb="FF000000"/>
        <rFont val="Meiryo"/>
        <family val="0"/>
        <charset val="1"/>
      </rPr>
      <t xml:space="preserve">✕(1-5</t>
    </r>
    <r>
      <rPr>
        <sz val="8"/>
        <color rgb="FF000000"/>
        <rFont val="WenQuanYi Zen Hei"/>
        <family val="2"/>
      </rPr>
      <t xml:space="preserve">データ定義テンプレートは案①のみ、案②は対応なし</t>
    </r>
    <r>
      <rPr>
        <sz val="8"/>
        <color rgb="FF000000"/>
        <rFont val="Meiryo"/>
        <family val="0"/>
        <charset val="1"/>
      </rPr>
      <t xml:space="preserve">)</t>
    </r>
  </si>
  <si>
    <r>
      <rPr>
        <sz val="8"/>
        <color rgb="FF000000"/>
        <rFont val="Meiryo"/>
        <family val="0"/>
        <charset val="1"/>
      </rPr>
      <t xml:space="preserve">○(#7</t>
    </r>
    <r>
      <rPr>
        <sz val="8"/>
        <color rgb="FF000000"/>
        <rFont val="WenQuanYi Zen Hei"/>
        <family val="2"/>
      </rPr>
      <t xml:space="preserve">、独立文書</t>
    </r>
    <r>
      <rPr>
        <sz val="8"/>
        <color rgb="FF000000"/>
        <rFont val="Meiryo"/>
        <family val="0"/>
        <charset val="1"/>
      </rPr>
      <t xml:space="preserve">)</t>
    </r>
  </si>
  <si>
    <r>
      <rPr>
        <sz val="8"/>
        <color rgb="FF000000"/>
        <rFont val="WenQuanYi Zen Hei"/>
        <family val="2"/>
      </rPr>
      <t xml:space="preserve">アビームが</t>
    </r>
    <r>
      <rPr>
        <sz val="8"/>
        <color rgb="FF000000"/>
        <rFont val="Meiryo"/>
        <family val="0"/>
        <charset val="1"/>
      </rPr>
      <t xml:space="preserve">3</t>
    </r>
    <r>
      <rPr>
        <sz val="8"/>
        <color rgb="FF000000"/>
        <rFont val="WenQuanYi Zen Hei"/>
        <family val="2"/>
      </rPr>
      <t xml:space="preserve">社中最も深い</t>
    </r>
  </si>
  <si>
    <t xml:space="preserve">システム構成図・アーキテクチャ</t>
  </si>
  <si>
    <r>
      <rPr>
        <sz val="8"/>
        <color rgb="FF000000"/>
        <rFont val="Meiryo"/>
        <family val="0"/>
        <charset val="1"/>
      </rPr>
      <t xml:space="preserve">✕(</t>
    </r>
    <r>
      <rPr>
        <sz val="8"/>
        <color rgb="FF000000"/>
        <rFont val="WenQuanYi Zen Hei"/>
        <family val="2"/>
      </rPr>
      <t xml:space="preserve">独立成果物なし</t>
    </r>
    <r>
      <rPr>
        <sz val="8"/>
        <color rgb="FF000000"/>
        <rFont val="Meiryo"/>
        <family val="0"/>
        <charset val="1"/>
      </rPr>
      <t xml:space="preserve">)</t>
    </r>
  </si>
  <si>
    <r>
      <rPr>
        <sz val="8"/>
        <color rgb="FF000000"/>
        <rFont val="Meiryo"/>
        <family val="0"/>
        <charset val="1"/>
      </rPr>
      <t xml:space="preserve">○(2-1</t>
    </r>
    <r>
      <rPr>
        <sz val="8"/>
        <color rgb="FF000000"/>
        <rFont val="WenQuanYi Zen Hei"/>
        <family val="2"/>
      </rPr>
      <t xml:space="preserve">、単一段階の素案</t>
    </r>
    <r>
      <rPr>
        <sz val="8"/>
        <color rgb="FF000000"/>
        <rFont val="Meiryo"/>
        <family val="0"/>
        <charset val="1"/>
      </rPr>
      <t xml:space="preserve">)</t>
    </r>
  </si>
  <si>
    <r>
      <rPr>
        <sz val="8"/>
        <color rgb="FF000000"/>
        <rFont val="Meiryo"/>
        <family val="0"/>
        <charset val="1"/>
      </rPr>
      <t xml:space="preserve">○(#4</t>
    </r>
    <r>
      <rPr>
        <sz val="8"/>
        <color rgb="FF000000"/>
        <rFont val="WenQuanYi Zen Hei"/>
        <family val="2"/>
      </rPr>
      <t xml:space="preserve">、稼働直後</t>
    </r>
    <r>
      <rPr>
        <sz val="8"/>
        <color rgb="FF000000"/>
        <rFont val="Meiryo"/>
        <family val="0"/>
        <charset val="1"/>
      </rPr>
      <t xml:space="preserve">/</t>
    </r>
    <r>
      <rPr>
        <sz val="8"/>
        <color rgb="FF000000"/>
        <rFont val="WenQuanYi Zen Hei"/>
        <family val="2"/>
      </rPr>
      <t xml:space="preserve">数年後の</t>
    </r>
    <r>
      <rPr>
        <sz val="8"/>
        <color rgb="FF000000"/>
        <rFont val="Meiryo"/>
        <family val="0"/>
        <charset val="1"/>
      </rPr>
      <t xml:space="preserve">2</t>
    </r>
    <r>
      <rPr>
        <sz val="8"/>
        <color rgb="FF000000"/>
        <rFont val="WenQuanYi Zen Hei"/>
        <family val="2"/>
      </rPr>
      <t xml:space="preserve">段階設計</t>
    </r>
    <r>
      <rPr>
        <sz val="8"/>
        <color rgb="FF000000"/>
        <rFont val="Meiryo"/>
        <family val="0"/>
        <charset val="1"/>
      </rPr>
      <t xml:space="preserve">)</t>
    </r>
  </si>
  <si>
    <t xml:space="preserve">ライズのみ欠落。アビームが最も深い</t>
  </si>
  <si>
    <t xml:space="preserve">非機能要件定義書／システム要件定義書</t>
  </si>
  <si>
    <r>
      <rPr>
        <sz val="8"/>
        <color rgb="FF000000"/>
        <rFont val="Meiryo"/>
        <family val="0"/>
        <charset val="1"/>
      </rPr>
      <t xml:space="preserve">○(17</t>
    </r>
    <r>
      <rPr>
        <sz val="8"/>
        <color rgb="FF000000"/>
        <rFont val="WenQuanYi Zen Hei"/>
        <family val="2"/>
      </rPr>
      <t xml:space="preserve">項目体系</t>
    </r>
    <r>
      <rPr>
        <sz val="8"/>
        <color rgb="FF000000"/>
        <rFont val="Meiryo"/>
        <family val="0"/>
        <charset val="1"/>
      </rPr>
      <t xml:space="preserve">)</t>
    </r>
  </si>
  <si>
    <r>
      <rPr>
        <sz val="8"/>
        <color rgb="FF000000"/>
        <rFont val="Meiryo"/>
        <family val="0"/>
        <charset val="1"/>
      </rPr>
      <t xml:space="preserve">△(</t>
    </r>
    <r>
      <rPr>
        <sz val="8"/>
        <color rgb="FF000000"/>
        <rFont val="WenQuanYi Zen Hei"/>
        <family val="2"/>
      </rPr>
      <t xml:space="preserve">独立文書として非明記</t>
    </r>
    <r>
      <rPr>
        <sz val="8"/>
        <color rgb="FF000000"/>
        <rFont val="Meiryo"/>
        <family val="0"/>
        <charset val="1"/>
      </rPr>
      <t xml:space="preserve">)</t>
    </r>
  </si>
  <si>
    <t xml:space="preserve">○(#8)</t>
  </si>
  <si>
    <r>
      <rPr>
        <b val="true"/>
        <sz val="8"/>
        <color rgb="FF000000"/>
        <rFont val="WenQuanYi Zen Hei"/>
        <family val="2"/>
      </rPr>
      <t xml:space="preserve">ユースケース優先順位付け（攻めの絞り込み・効果</t>
    </r>
    <r>
      <rPr>
        <b val="true"/>
        <sz val="8"/>
        <color rgb="FF000000"/>
        <rFont val="Meiryo"/>
        <family val="0"/>
        <charset val="1"/>
      </rPr>
      <t xml:space="preserve">×</t>
    </r>
    <r>
      <rPr>
        <b val="true"/>
        <sz val="8"/>
        <color rgb="FF000000"/>
        <rFont val="WenQuanYi Zen Hei"/>
        <family val="2"/>
      </rPr>
      <t xml:space="preserve">実現性評価）</t>
    </r>
  </si>
  <si>
    <r>
      <rPr>
        <sz val="8"/>
        <color rgb="FF000000"/>
        <rFont val="Meiryo"/>
        <family val="0"/>
        <charset val="1"/>
      </rPr>
      <t xml:space="preserve">△(</t>
    </r>
    <r>
      <rPr>
        <sz val="8"/>
        <color rgb="FF000000"/>
        <rFont val="WenQuanYi Zen Hei"/>
        <family val="2"/>
      </rPr>
      <t xml:space="preserve">初期仮説の提示のみ、優先度評価なし</t>
    </r>
    <r>
      <rPr>
        <sz val="8"/>
        <color rgb="FF000000"/>
        <rFont val="Meiryo"/>
        <family val="0"/>
        <charset val="1"/>
      </rPr>
      <t xml:space="preserve">)</t>
    </r>
  </si>
  <si>
    <r>
      <rPr>
        <sz val="8"/>
        <color rgb="FF000000"/>
        <rFont val="Meiryo"/>
        <family val="0"/>
        <charset val="1"/>
      </rPr>
      <t xml:space="preserve">✕(Step2</t>
    </r>
    <r>
      <rPr>
        <sz val="8"/>
        <color rgb="FF000000"/>
        <rFont val="WenQuanYi Zen Hei"/>
        <family val="2"/>
      </rPr>
      <t xml:space="preserve">以降に後ろ倒し</t>
    </r>
    <r>
      <rPr>
        <sz val="8"/>
        <color rgb="FF000000"/>
        <rFont val="Meiryo"/>
        <family val="0"/>
        <charset val="1"/>
      </rPr>
      <t xml:space="preserve">)</t>
    </r>
  </si>
  <si>
    <r>
      <rPr>
        <sz val="8"/>
        <color rgb="FF000000"/>
        <rFont val="Meiryo"/>
        <family val="0"/>
        <charset val="1"/>
      </rPr>
      <t xml:space="preserve">○(#2</t>
    </r>
    <r>
      <rPr>
        <sz val="8"/>
        <color rgb="FF000000"/>
        <rFont val="WenQuanYi Zen Hei"/>
        <family val="2"/>
      </rPr>
      <t xml:space="preserve">、</t>
    </r>
    <r>
      <rPr>
        <sz val="8"/>
        <color rgb="FF000000"/>
        <rFont val="Meiryo"/>
        <family val="0"/>
        <charset val="1"/>
      </rPr>
      <t xml:space="preserve">6</t>
    </r>
    <r>
      <rPr>
        <sz val="8"/>
        <color rgb="FF000000"/>
        <rFont val="WenQuanYi Zen Hei"/>
        <family val="2"/>
      </rPr>
      <t xml:space="preserve">候補を事前評価済み</t>
    </r>
    <r>
      <rPr>
        <sz val="8"/>
        <color rgb="FF000000"/>
        <rFont val="Meiryo"/>
        <family val="0"/>
        <charset val="1"/>
      </rPr>
      <t xml:space="preserve">)</t>
    </r>
  </si>
  <si>
    <t xml:space="preserve">アビームのみ実施済み</t>
  </si>
  <si>
    <t xml:space="preserve">開示効率化検討（複数開示の共通化設計）</t>
  </si>
  <si>
    <t xml:space="preserve">✕</t>
  </si>
  <si>
    <t xml:space="preserve">○(1-6)</t>
  </si>
  <si>
    <r>
      <rPr>
        <sz val="8"/>
        <color rgb="FF000000"/>
        <rFont val="Meiryo"/>
        <family val="0"/>
        <charset val="1"/>
      </rPr>
      <t xml:space="preserve">✕(</t>
    </r>
    <r>
      <rPr>
        <sz val="8"/>
        <color rgb="FF000000"/>
        <rFont val="WenQuanYi Zen Hei"/>
        <family val="2"/>
      </rPr>
      <t xml:space="preserve">基本スコープに明記なし</t>
    </r>
    <r>
      <rPr>
        <sz val="8"/>
        <color rgb="FF000000"/>
        <rFont val="Meiryo"/>
        <family val="0"/>
        <charset val="1"/>
      </rPr>
      <t xml:space="preserve">)</t>
    </r>
  </si>
  <si>
    <r>
      <rPr>
        <sz val="8"/>
        <color rgb="FF000000"/>
        <rFont val="Meiryo"/>
        <family val="0"/>
        <charset val="1"/>
      </rPr>
      <t xml:space="preserve">PwC</t>
    </r>
    <r>
      <rPr>
        <sz val="8"/>
        <color rgb="FF000000"/>
        <rFont val="WenQuanYi Zen Hei"/>
        <family val="2"/>
      </rPr>
      <t xml:space="preserve">のみ含む</t>
    </r>
  </si>
  <si>
    <t xml:space="preserve">システム化方針（移行・テスト・教育・本番移行の方針）</t>
  </si>
  <si>
    <r>
      <rPr>
        <sz val="8"/>
        <color rgb="FF000000"/>
        <rFont val="Meiryo"/>
        <family val="0"/>
        <charset val="1"/>
      </rPr>
      <t xml:space="preserve">△(</t>
    </r>
    <r>
      <rPr>
        <sz val="8"/>
        <color rgb="FF000000"/>
        <rFont val="WenQuanYi Zen Hei"/>
        <family val="2"/>
      </rPr>
      <t xml:space="preserve">非機能要件定義書に移行計画を記載</t>
    </r>
    <r>
      <rPr>
        <sz val="8"/>
        <color rgb="FF000000"/>
        <rFont val="Meiryo"/>
        <family val="0"/>
        <charset val="1"/>
      </rPr>
      <t xml:space="preserve">)</t>
    </r>
  </si>
  <si>
    <r>
      <rPr>
        <sz val="8"/>
        <color rgb="FF000000"/>
        <rFont val="Meiryo"/>
        <family val="0"/>
        <charset val="1"/>
      </rPr>
      <t xml:space="preserve">✕(</t>
    </r>
    <r>
      <rPr>
        <sz val="8"/>
        <color rgb="FF000000"/>
        <rFont val="WenQuanYi Zen Hei"/>
        <family val="2"/>
      </rPr>
      <t xml:space="preserve">価格表に明記なし</t>
    </r>
    <r>
      <rPr>
        <sz val="8"/>
        <color rgb="FF000000"/>
        <rFont val="Meiryo"/>
        <family val="0"/>
        <charset val="1"/>
      </rPr>
      <t xml:space="preserve">)</t>
    </r>
  </si>
  <si>
    <t xml:space="preserve">○(#9)</t>
  </si>
  <si>
    <t xml:space="preserve">アビームが最も深い</t>
  </si>
  <si>
    <t xml:space="preserve">展開計画・定着計画（変更管理・トレーニング）</t>
  </si>
  <si>
    <t xml:space="preserve">○(3-1,3-2)</t>
  </si>
  <si>
    <r>
      <rPr>
        <sz val="8"/>
        <color rgb="FF000000"/>
        <rFont val="Meiryo"/>
        <family val="0"/>
        <charset val="1"/>
      </rPr>
      <t xml:space="preserve">✕(Option B</t>
    </r>
    <r>
      <rPr>
        <sz val="8"/>
        <color rgb="FF000000"/>
        <rFont val="WenQuanYi Zen Hei"/>
        <family val="2"/>
      </rPr>
      <t xml:space="preserve">に追い出し</t>
    </r>
    <r>
      <rPr>
        <sz val="8"/>
        <color rgb="FF000000"/>
        <rFont val="Meiryo"/>
        <family val="0"/>
        <charset val="1"/>
      </rPr>
      <t xml:space="preserve">)</t>
    </r>
  </si>
  <si>
    <r>
      <rPr>
        <sz val="8"/>
        <color rgb="FF000000"/>
        <rFont val="Meiryo"/>
        <family val="0"/>
        <charset val="1"/>
      </rPr>
      <t xml:space="preserve">PwC(</t>
    </r>
    <r>
      <rPr>
        <sz val="8"/>
        <color rgb="FF000000"/>
        <rFont val="WenQuanYi Zen Hei"/>
        <family val="2"/>
      </rPr>
      <t xml:space="preserve">案②</t>
    </r>
    <r>
      <rPr>
        <sz val="8"/>
        <color rgb="FF000000"/>
        <rFont val="Meiryo"/>
        <family val="0"/>
        <charset val="1"/>
      </rPr>
      <t xml:space="preserve">27M)</t>
    </r>
    <r>
      <rPr>
        <sz val="8"/>
        <color rgb="FF000000"/>
        <rFont val="WenQuanYi Zen Hei"/>
        <family val="2"/>
      </rPr>
      <t xml:space="preserve">は含むが、アビーム</t>
    </r>
    <r>
      <rPr>
        <sz val="8"/>
        <color rgb="FF000000"/>
        <rFont val="Meiryo"/>
        <family val="0"/>
        <charset val="1"/>
      </rPr>
      <t xml:space="preserve">(</t>
    </r>
    <r>
      <rPr>
        <sz val="8"/>
        <color rgb="FF000000"/>
        <rFont val="WenQuanYi Zen Hei"/>
        <family val="2"/>
      </rPr>
      <t xml:space="preserve">基本</t>
    </r>
    <r>
      <rPr>
        <sz val="8"/>
        <color rgb="FF000000"/>
        <rFont val="Meiryo"/>
        <family val="0"/>
        <charset val="1"/>
      </rPr>
      <t xml:space="preserve">53M)</t>
    </r>
    <r>
      <rPr>
        <sz val="8"/>
        <color rgb="FF000000"/>
        <rFont val="WenQuanYi Zen Hei"/>
        <family val="2"/>
      </rPr>
      <t xml:space="preserve">は含まない</t>
    </r>
  </si>
  <si>
    <r>
      <rPr>
        <b val="true"/>
        <sz val="8"/>
        <color rgb="FF000000"/>
        <rFont val="Meiryo"/>
        <family val="0"/>
        <charset val="1"/>
      </rPr>
      <t xml:space="preserve">PJ</t>
    </r>
    <r>
      <rPr>
        <b val="true"/>
        <sz val="8"/>
        <color rgb="FF000000"/>
        <rFont val="WenQuanYi Zen Hei"/>
        <family val="2"/>
      </rPr>
      <t xml:space="preserve">計画書（体制・予算・全体スケジュール）</t>
    </r>
  </si>
  <si>
    <r>
      <rPr>
        <sz val="8"/>
        <color rgb="FF000000"/>
        <rFont val="Meiryo"/>
        <family val="0"/>
        <charset val="1"/>
      </rPr>
      <t xml:space="preserve">△(RFP</t>
    </r>
    <r>
      <rPr>
        <sz val="8"/>
        <color rgb="FF000000"/>
        <rFont val="WenQuanYi Zen Hei"/>
        <family val="2"/>
      </rPr>
      <t xml:space="preserve">本紙内に含む</t>
    </r>
    <r>
      <rPr>
        <sz val="8"/>
        <color rgb="FF000000"/>
        <rFont val="Meiryo"/>
        <family val="0"/>
        <charset val="1"/>
      </rPr>
      <t xml:space="preserve">)</t>
    </r>
  </si>
  <si>
    <t xml:space="preserve">○(4-1)</t>
  </si>
  <si>
    <r>
      <rPr>
        <sz val="8"/>
        <color rgb="FF000000"/>
        <rFont val="Meiryo"/>
        <family val="0"/>
        <charset val="1"/>
      </rPr>
      <t xml:space="preserve">△(RFP</t>
    </r>
    <r>
      <rPr>
        <sz val="8"/>
        <color rgb="FF000000"/>
        <rFont val="WenQuanYi Zen Hei"/>
        <family val="2"/>
      </rPr>
      <t xml:space="preserve">本紙内に含むと推定</t>
    </r>
    <r>
      <rPr>
        <sz val="8"/>
        <color rgb="FF000000"/>
        <rFont val="Meiryo"/>
        <family val="0"/>
        <charset val="1"/>
      </rPr>
      <t xml:space="preserve">)</t>
    </r>
  </si>
  <si>
    <r>
      <rPr>
        <sz val="8"/>
        <color rgb="FF000000"/>
        <rFont val="Meiryo"/>
        <family val="0"/>
        <charset val="1"/>
      </rPr>
      <t xml:space="preserve">PwC(</t>
    </r>
    <r>
      <rPr>
        <sz val="8"/>
        <color rgb="FF000000"/>
        <rFont val="WenQuanYi Zen Hei"/>
        <family val="2"/>
      </rPr>
      <t xml:space="preserve">案②</t>
    </r>
    <r>
      <rPr>
        <sz val="8"/>
        <color rgb="FF000000"/>
        <rFont val="Meiryo"/>
        <family val="0"/>
        <charset val="1"/>
      </rPr>
      <t xml:space="preserve">27M)</t>
    </r>
    <r>
      <rPr>
        <sz val="8"/>
        <color rgb="FF000000"/>
        <rFont val="WenQuanYi Zen Hei"/>
        <family val="2"/>
      </rPr>
      <t xml:space="preserve">は独立成果物として明記</t>
    </r>
  </si>
  <si>
    <t xml:space="preserve">内部統制・保証人事前協議（証憑・統制要件の入口整理）</t>
  </si>
  <si>
    <r>
      <rPr>
        <sz val="8"/>
        <color rgb="FF000000"/>
        <rFont val="Meiryo"/>
        <family val="0"/>
        <charset val="1"/>
      </rPr>
      <t xml:space="preserve">△(</t>
    </r>
    <r>
      <rPr>
        <sz val="8"/>
        <color rgb="FF000000"/>
        <rFont val="WenQuanYi Zen Hei"/>
        <family val="2"/>
      </rPr>
      <t xml:space="preserve">証跡管理の言及のみ</t>
    </r>
    <r>
      <rPr>
        <sz val="8"/>
        <color rgb="FF000000"/>
        <rFont val="Meiryo"/>
        <family val="0"/>
        <charset val="1"/>
      </rPr>
      <t xml:space="preserve">)</t>
    </r>
  </si>
  <si>
    <t xml:space="preserve">○(1-2)</t>
  </si>
  <si>
    <r>
      <rPr>
        <sz val="8"/>
        <color rgb="FF000000"/>
        <rFont val="Meiryo"/>
        <family val="0"/>
        <charset val="1"/>
      </rPr>
      <t xml:space="preserve">○(#12</t>
    </r>
    <r>
      <rPr>
        <sz val="8"/>
        <color rgb="FF000000"/>
        <rFont val="WenQuanYi Zen Hei"/>
        <family val="2"/>
      </rPr>
      <t xml:space="preserve">の一部を基本スコープに残置</t>
    </r>
    <r>
      <rPr>
        <sz val="8"/>
        <color rgb="FF000000"/>
        <rFont val="Meiryo"/>
        <family val="0"/>
        <charset val="1"/>
      </rPr>
      <t xml:space="preserve">)</t>
    </r>
  </si>
  <si>
    <t xml:space="preserve">ベンダー質疑応答・評価の実施</t>
  </si>
  <si>
    <r>
      <rPr>
        <sz val="8"/>
        <color rgb="FF000000"/>
        <rFont val="Meiryo"/>
        <family val="0"/>
        <charset val="1"/>
      </rPr>
      <t xml:space="preserve">✕(</t>
    </r>
    <r>
      <rPr>
        <sz val="8"/>
        <color rgb="FF000000"/>
        <rFont val="WenQuanYi Zen Hei"/>
        <family val="2"/>
      </rPr>
      <t xml:space="preserve">後続フェーズ</t>
    </r>
    <r>
      <rPr>
        <sz val="8"/>
        <color rgb="FF000000"/>
        <rFont val="Meiryo"/>
        <family val="0"/>
        <charset val="1"/>
      </rPr>
      <t xml:space="preserve">)</t>
    </r>
  </si>
  <si>
    <r>
      <rPr>
        <sz val="8"/>
        <color rgb="FF000000"/>
        <rFont val="Meiryo"/>
        <family val="0"/>
        <charset val="1"/>
      </rPr>
      <t xml:space="preserve">○(2-3</t>
    </r>
    <r>
      <rPr>
        <sz val="8"/>
        <color rgb="FF000000"/>
        <rFont val="WenQuanYi Zen Hei"/>
        <family val="2"/>
      </rPr>
      <t xml:space="preserve">評価方法検討まで。実施は案③以外</t>
    </r>
    <r>
      <rPr>
        <sz val="8"/>
        <color rgb="FF000000"/>
        <rFont val="Meiryo"/>
        <family val="0"/>
        <charset val="1"/>
      </rPr>
      <t xml:space="preserve">)</t>
    </r>
  </si>
  <si>
    <r>
      <rPr>
        <sz val="8"/>
        <color rgb="FF000000"/>
        <rFont val="Meiryo"/>
        <family val="0"/>
        <charset val="1"/>
      </rPr>
      <t xml:space="preserve">✕(Option A</t>
    </r>
    <r>
      <rPr>
        <sz val="8"/>
        <color rgb="FF000000"/>
        <rFont val="WenQuanYi Zen Hei"/>
        <family val="2"/>
      </rPr>
      <t xml:space="preserve">、</t>
    </r>
    <r>
      <rPr>
        <sz val="8"/>
        <color rgb="FF000000"/>
        <rFont val="Meiryo"/>
        <family val="0"/>
        <charset val="1"/>
      </rPr>
      <t xml:space="preserve">300</t>
    </r>
    <r>
      <rPr>
        <sz val="8"/>
        <color rgb="FF000000"/>
        <rFont val="WenQuanYi Zen Hei"/>
        <family val="2"/>
      </rPr>
      <t xml:space="preserve">万円）</t>
    </r>
  </si>
  <si>
    <r>
      <rPr>
        <sz val="8"/>
        <color rgb="FF000000"/>
        <rFont val="Meiryo"/>
        <family val="0"/>
        <charset val="1"/>
      </rPr>
      <t xml:space="preserve">3</t>
    </r>
    <r>
      <rPr>
        <sz val="8"/>
        <color rgb="FF000000"/>
        <rFont val="WenQuanYi Zen Hei"/>
        <family val="2"/>
      </rPr>
      <t xml:space="preserve">社とも実施そのものは価格表内で限定的</t>
    </r>
  </si>
  <si>
    <r>
      <rPr>
        <sz val="9"/>
        <color rgb="FF000000"/>
        <rFont val="WenQuanYi Zen Hei"/>
        <family val="2"/>
      </rPr>
      <t xml:space="preserve">【スコープ差の結論】アビームが広い</t>
    </r>
    <r>
      <rPr>
        <sz val="9"/>
        <color rgb="FF000000"/>
        <rFont val="Meiryo"/>
        <family val="0"/>
        <charset val="1"/>
      </rPr>
      <t xml:space="preserve">/</t>
    </r>
    <r>
      <rPr>
        <sz val="9"/>
        <color rgb="FF000000"/>
        <rFont val="WenQuanYi Zen Hei"/>
        <family val="2"/>
      </rPr>
      <t xml:space="preserve">深い部分（データ要件定義書の独立化、</t>
    </r>
    <r>
      <rPr>
        <sz val="9"/>
        <color rgb="FF000000"/>
        <rFont val="Meiryo"/>
        <family val="0"/>
        <charset val="1"/>
      </rPr>
      <t xml:space="preserve">2</t>
    </r>
    <r>
      <rPr>
        <sz val="9"/>
        <color rgb="FF000000"/>
        <rFont val="WenQuanYi Zen Hei"/>
        <family val="2"/>
      </rPr>
      <t xml:space="preserve">段階アーキテクチャ、ユースケース優先順位付け、システム化方針の移行</t>
    </r>
    <r>
      <rPr>
        <sz val="9"/>
        <color rgb="FF000000"/>
        <rFont val="Meiryo"/>
        <family val="0"/>
        <charset val="1"/>
      </rPr>
      <t xml:space="preserve">/</t>
    </r>
    <r>
      <rPr>
        <sz val="9"/>
        <color rgb="FF000000"/>
        <rFont val="WenQuanYi Zen Hei"/>
        <family val="2"/>
      </rPr>
      <t xml:space="preserve">テスト</t>
    </r>
    <r>
      <rPr>
        <sz val="9"/>
        <color rgb="FF000000"/>
        <rFont val="Meiryo"/>
        <family val="0"/>
        <charset val="1"/>
      </rPr>
      <t xml:space="preserve">/</t>
    </r>
    <r>
      <rPr>
        <sz val="9"/>
        <color rgb="FF000000"/>
        <rFont val="WenQuanYi Zen Hei"/>
        <family val="2"/>
      </rPr>
      <t xml:space="preserve">教育）は主にライズとの比較で価格差の一部を正当化する。一方、</t>
    </r>
    <r>
      <rPr>
        <sz val="9"/>
        <color rgb="FF000000"/>
        <rFont val="Meiryo"/>
        <family val="0"/>
        <charset val="1"/>
      </rPr>
      <t xml:space="preserve">PwC(</t>
    </r>
    <r>
      <rPr>
        <sz val="9"/>
        <color rgb="FF000000"/>
        <rFont val="WenQuanYi Zen Hei"/>
        <family val="2"/>
      </rPr>
      <t xml:space="preserve">案②</t>
    </r>
    <r>
      <rPr>
        <sz val="9"/>
        <color rgb="FF000000"/>
        <rFont val="Meiryo"/>
        <family val="0"/>
        <charset val="1"/>
      </rPr>
      <t xml:space="preserve">27M)</t>
    </r>
    <r>
      <rPr>
        <sz val="9"/>
        <color rgb="FF000000"/>
        <rFont val="WenQuanYi Zen Hei"/>
        <family val="2"/>
      </rPr>
      <t xml:space="preserve">が既に含み、アビーム</t>
    </r>
    <r>
      <rPr>
        <sz val="9"/>
        <color rgb="FF000000"/>
        <rFont val="Meiryo"/>
        <family val="0"/>
        <charset val="1"/>
      </rPr>
      <t xml:space="preserve">(</t>
    </r>
    <r>
      <rPr>
        <sz val="9"/>
        <color rgb="FF000000"/>
        <rFont val="WenQuanYi Zen Hei"/>
        <family val="2"/>
      </rPr>
      <t xml:space="preserve">基本</t>
    </r>
    <r>
      <rPr>
        <sz val="9"/>
        <color rgb="FF000000"/>
        <rFont val="Meiryo"/>
        <family val="0"/>
        <charset val="1"/>
      </rPr>
      <t xml:space="preserve">53M)</t>
    </r>
    <r>
      <rPr>
        <sz val="9"/>
        <color rgb="FF000000"/>
        <rFont val="WenQuanYi Zen Hei"/>
        <family val="2"/>
      </rPr>
      <t xml:space="preserve">には含まれない部分（開示効率化検討、展開計画・定着計画、</t>
    </r>
    <r>
      <rPr>
        <sz val="9"/>
        <color rgb="FF000000"/>
        <rFont val="Meiryo"/>
        <family val="0"/>
        <charset val="1"/>
      </rPr>
      <t xml:space="preserve">PJ</t>
    </r>
    <r>
      <rPr>
        <sz val="9"/>
        <color rgb="FF000000"/>
        <rFont val="WenQuanYi Zen Hei"/>
        <family val="2"/>
      </rPr>
      <t xml:space="preserve">計画書の明示的な独立成果物化）もあり、この軸ではアビームの方が</t>
    </r>
    <r>
      <rPr>
        <sz val="9"/>
        <color rgb="FF000000"/>
        <rFont val="Meiryo"/>
        <family val="0"/>
        <charset val="1"/>
      </rPr>
      <t xml:space="preserve">PwC</t>
    </r>
    <r>
      <rPr>
        <sz val="9"/>
        <color rgb="FF000000"/>
        <rFont val="WenQuanYi Zen Hei"/>
        <family val="2"/>
      </rPr>
      <t xml:space="preserve">より狭いスコープでより高い価格になっている。スコープの広さ・深さは双方向にズレており、金額差（アビームが</t>
    </r>
    <r>
      <rPr>
        <sz val="9"/>
        <color rgb="FF000000"/>
        <rFont val="Meiryo"/>
        <family val="0"/>
        <charset val="1"/>
      </rPr>
      <t xml:space="preserve">PwC</t>
    </r>
    <r>
      <rPr>
        <sz val="9"/>
        <color rgb="FF000000"/>
        <rFont val="WenQuanYi Zen Hei"/>
        <family val="2"/>
      </rPr>
      <t xml:space="preserve">案②の</t>
    </r>
    <r>
      <rPr>
        <sz val="9"/>
        <color rgb="FF000000"/>
        <rFont val="Meiryo"/>
        <family val="0"/>
        <charset val="1"/>
      </rPr>
      <t xml:space="preserve">1.96</t>
    </r>
    <r>
      <rPr>
        <sz val="9"/>
        <color rgb="FF000000"/>
        <rFont val="WenQuanYi Zen Hei"/>
        <family val="2"/>
      </rPr>
      <t xml:space="preserve">倍）をスコープだけで説明することはできない。</t>
    </r>
  </si>
  <si>
    <t xml:space="preserve">② 金額の直接比較</t>
  </si>
  <si>
    <t xml:space="preserve">比較項目</t>
  </si>
  <si>
    <r>
      <rPr>
        <b val="true"/>
        <sz val="9"/>
        <color rgb="FF000000"/>
        <rFont val="WenQuanYi Zen Hei"/>
        <family val="2"/>
      </rPr>
      <t xml:space="preserve">提示金額（税抜）｟</t>
    </r>
    <r>
      <rPr>
        <b val="true"/>
        <sz val="9"/>
        <color rgb="FF000000"/>
        <rFont val="Meiryo"/>
        <family val="0"/>
        <charset val="1"/>
      </rPr>
      <t xml:space="preserve">v1.1</t>
    </r>
    <r>
      <rPr>
        <b val="true"/>
        <sz val="9"/>
        <color rgb="FF000000"/>
        <rFont val="WenQuanYi Zen Hei"/>
        <family val="2"/>
      </rPr>
      <t xml:space="preserve">｠</t>
    </r>
  </si>
  <si>
    <r>
      <rPr>
        <sz val="9"/>
        <color rgb="FF000000"/>
        <rFont val="Meiryo"/>
        <family val="0"/>
        <charset val="1"/>
      </rPr>
      <t xml:space="preserve">2,400</t>
    </r>
    <r>
      <rPr>
        <sz val="9"/>
        <color rgb="FF000000"/>
        <rFont val="WenQuanYi Zen Hei"/>
        <family val="2"/>
      </rPr>
      <t xml:space="preserve">万円
（定価</t>
    </r>
    <r>
      <rPr>
        <sz val="9"/>
        <color rgb="FF000000"/>
        <rFont val="Meiryo"/>
        <family val="0"/>
        <charset val="1"/>
      </rPr>
      <t xml:space="preserve">3,520</t>
    </r>
    <r>
      <rPr>
        <sz val="9"/>
        <color rgb="FF000000"/>
        <rFont val="WenQuanYi Zen Hei"/>
        <family val="2"/>
      </rPr>
      <t xml:space="preserve">万円、値引▲</t>
    </r>
    <r>
      <rPr>
        <sz val="9"/>
        <color rgb="FF000000"/>
        <rFont val="Meiryo"/>
        <family val="0"/>
        <charset val="1"/>
      </rPr>
      <t xml:space="preserve">1,120</t>
    </r>
    <r>
      <rPr>
        <sz val="9"/>
        <color rgb="FF000000"/>
        <rFont val="WenQuanYi Zen Hei"/>
        <family val="2"/>
      </rPr>
      <t xml:space="preserve">万円）</t>
    </r>
  </si>
  <si>
    <r>
      <rPr>
        <sz val="9"/>
        <color rgb="FF000000"/>
        <rFont val="WenQuanYi Zen Hei"/>
        <family val="2"/>
      </rPr>
      <t xml:space="preserve">案① </t>
    </r>
    <r>
      <rPr>
        <sz val="9"/>
        <color rgb="FF000000"/>
        <rFont val="Meiryo"/>
        <family val="0"/>
        <charset val="1"/>
      </rPr>
      <t xml:space="preserve">3,350</t>
    </r>
    <r>
      <rPr>
        <sz val="9"/>
        <color rgb="FF000000"/>
        <rFont val="WenQuanYi Zen Hei"/>
        <family val="2"/>
      </rPr>
      <t xml:space="preserve">万円
案② </t>
    </r>
    <r>
      <rPr>
        <sz val="9"/>
        <color rgb="FF000000"/>
        <rFont val="Meiryo"/>
        <family val="0"/>
        <charset val="1"/>
      </rPr>
      <t xml:space="preserve">2,700</t>
    </r>
    <r>
      <rPr>
        <sz val="9"/>
        <color rgb="FF000000"/>
        <rFont val="WenQuanYi Zen Hei"/>
        <family val="2"/>
      </rPr>
      <t xml:space="preserve">万円
案③ </t>
    </r>
    <r>
      <rPr>
        <sz val="9"/>
        <color rgb="FF000000"/>
        <rFont val="Meiryo"/>
        <family val="0"/>
        <charset val="1"/>
      </rPr>
      <t xml:space="preserve">2,150</t>
    </r>
    <r>
      <rPr>
        <sz val="9"/>
        <color rgb="FF000000"/>
        <rFont val="WenQuanYi Zen Hei"/>
        <family val="2"/>
      </rPr>
      <t xml:space="preserve">万円</t>
    </r>
  </si>
  <si>
    <r>
      <rPr>
        <sz val="9"/>
        <color rgb="FF000000"/>
        <rFont val="WenQuanYi Zen Hei"/>
        <family val="2"/>
      </rPr>
      <t xml:space="preserve">基本スコープ </t>
    </r>
    <r>
      <rPr>
        <sz val="9"/>
        <color rgb="FF000000"/>
        <rFont val="Meiryo"/>
        <family val="0"/>
        <charset val="1"/>
      </rPr>
      <t xml:space="preserve">5,300</t>
    </r>
    <r>
      <rPr>
        <sz val="9"/>
        <color rgb="FF000000"/>
        <rFont val="WenQuanYi Zen Hei"/>
        <family val="2"/>
      </rPr>
      <t xml:space="preserve">万円
＋オプション</t>
    </r>
    <r>
      <rPr>
        <sz val="9"/>
        <color rgb="FF000000"/>
        <rFont val="Meiryo"/>
        <family val="0"/>
        <charset val="1"/>
      </rPr>
      <t xml:space="preserve">A(</t>
    </r>
    <r>
      <rPr>
        <sz val="9"/>
        <color rgb="FF000000"/>
        <rFont val="WenQuanYi Zen Hei"/>
        <family val="2"/>
      </rPr>
      <t xml:space="preserve">ベンダー評価</t>
    </r>
    <r>
      <rPr>
        <sz val="9"/>
        <color rgb="FF000000"/>
        <rFont val="Meiryo"/>
        <family val="0"/>
        <charset val="1"/>
      </rPr>
      <t xml:space="preserve">) 300</t>
    </r>
    <r>
      <rPr>
        <sz val="9"/>
        <color rgb="FF000000"/>
        <rFont val="WenQuanYi Zen Hei"/>
        <family val="2"/>
      </rPr>
      <t xml:space="preserve">万円
＋オプション</t>
    </r>
    <r>
      <rPr>
        <sz val="9"/>
        <color rgb="FF000000"/>
        <rFont val="Meiryo"/>
        <family val="0"/>
        <charset val="1"/>
      </rPr>
      <t xml:space="preserve">B(</t>
    </r>
    <r>
      <rPr>
        <sz val="9"/>
        <color rgb="FF000000"/>
        <rFont val="WenQuanYi Zen Hei"/>
        <family val="2"/>
      </rPr>
      <t xml:space="preserve">非システム課題等</t>
    </r>
    <r>
      <rPr>
        <sz val="9"/>
        <color rgb="FF000000"/>
        <rFont val="Meiryo"/>
        <family val="0"/>
        <charset val="1"/>
      </rPr>
      <t xml:space="preserve">) 2,200</t>
    </r>
    <r>
      <rPr>
        <sz val="9"/>
        <color rgb="FF000000"/>
        <rFont val="WenQuanYi Zen Hei"/>
        <family val="2"/>
      </rPr>
      <t xml:space="preserve">万円
（全部含むと合計</t>
    </r>
    <r>
      <rPr>
        <sz val="9"/>
        <color rgb="FF000000"/>
        <rFont val="Meiryo"/>
        <family val="0"/>
        <charset val="1"/>
      </rPr>
      <t xml:space="preserve">7,800</t>
    </r>
    <r>
      <rPr>
        <sz val="9"/>
        <color rgb="FF000000"/>
        <rFont val="WenQuanYi Zen Hei"/>
        <family val="2"/>
      </rPr>
      <t xml:space="preserve">万円）</t>
    </r>
  </si>
  <si>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で基本／オプションに切り出し。基本スコープだけでも他社の</t>
    </r>
    <r>
      <rPr>
        <sz val="9"/>
        <color rgb="FF000000"/>
        <rFont val="Meiryo"/>
        <family val="0"/>
        <charset val="1"/>
      </rPr>
      <t xml:space="preserve">1.6</t>
    </r>
    <r>
      <rPr>
        <sz val="9"/>
        <color rgb="FF000000"/>
        <rFont val="WenQuanYi Zen Hei"/>
        <family val="2"/>
      </rPr>
      <t xml:space="preserve">〜</t>
    </r>
    <r>
      <rPr>
        <sz val="9"/>
        <color rgb="FF000000"/>
        <rFont val="Meiryo"/>
        <family val="0"/>
        <charset val="1"/>
      </rPr>
      <t xml:space="preserve">2.2</t>
    </r>
    <r>
      <rPr>
        <sz val="9"/>
        <color rgb="FF000000"/>
        <rFont val="WenQuanYi Zen Hei"/>
        <family val="2"/>
      </rPr>
      <t xml:space="preserve">倍</t>
    </r>
  </si>
  <si>
    <t xml:space="preserve">支援期間</t>
  </si>
  <si>
    <r>
      <rPr>
        <sz val="9"/>
        <color rgb="FF000000"/>
        <rFont val="Meiryo"/>
        <family val="0"/>
        <charset val="1"/>
      </rPr>
      <t xml:space="preserve">9/1</t>
    </r>
    <r>
      <rPr>
        <sz val="9"/>
        <color rgb="FF000000"/>
        <rFont val="WenQuanYi Zen Hei"/>
        <family val="2"/>
      </rPr>
      <t xml:space="preserve">〜</t>
    </r>
    <r>
      <rPr>
        <sz val="9"/>
        <color rgb="FF000000"/>
        <rFont val="Meiryo"/>
        <family val="0"/>
        <charset val="1"/>
      </rPr>
      <t xml:space="preserve">11/30</t>
    </r>
    <r>
      <rPr>
        <sz val="9"/>
        <color rgb="FF000000"/>
        <rFont val="WenQuanYi Zen Hei"/>
        <family val="2"/>
      </rPr>
      <t xml:space="preserve">（</t>
    </r>
    <r>
      <rPr>
        <sz val="9"/>
        <color rgb="FF000000"/>
        <rFont val="Meiryo"/>
        <family val="0"/>
        <charset val="1"/>
      </rPr>
      <t xml:space="preserve">3.0</t>
    </r>
    <r>
      <rPr>
        <sz val="9"/>
        <color rgb="FF000000"/>
        <rFont val="WenQuanYi Zen Hei"/>
        <family val="2"/>
      </rPr>
      <t xml:space="preserve">ヶ月）</t>
    </r>
  </si>
  <si>
    <r>
      <rPr>
        <sz val="9"/>
        <color rgb="FF000000"/>
        <rFont val="Meiryo"/>
        <family val="0"/>
        <charset val="1"/>
      </rPr>
      <t xml:space="preserve">9/7</t>
    </r>
    <r>
      <rPr>
        <sz val="9"/>
        <color rgb="FF000000"/>
        <rFont val="WenQuanYi Zen Hei"/>
        <family val="2"/>
      </rPr>
      <t xml:space="preserve">〜</t>
    </r>
    <r>
      <rPr>
        <sz val="9"/>
        <color rgb="FF000000"/>
        <rFont val="Meiryo"/>
        <family val="0"/>
        <charset val="1"/>
      </rPr>
      <t xml:space="preserve">12/25</t>
    </r>
    <r>
      <rPr>
        <sz val="9"/>
        <color rgb="FF000000"/>
        <rFont val="WenQuanYi Zen Hei"/>
        <family val="2"/>
      </rPr>
      <t xml:space="preserve">（約</t>
    </r>
    <r>
      <rPr>
        <sz val="9"/>
        <color rgb="FF000000"/>
        <rFont val="Meiryo"/>
        <family val="0"/>
        <charset val="1"/>
      </rPr>
      <t xml:space="preserve">3.6</t>
    </r>
    <r>
      <rPr>
        <sz val="9"/>
        <color rgb="FF000000"/>
        <rFont val="WenQuanYi Zen Hei"/>
        <family val="2"/>
      </rPr>
      <t xml:space="preserve">ヶ月）</t>
    </r>
  </si>
  <si>
    <r>
      <rPr>
        <sz val="9"/>
        <color rgb="FF000000"/>
        <rFont val="WenQuanYi Zen Hei"/>
        <family val="2"/>
      </rPr>
      <t xml:space="preserve">基本スコープ</t>
    </r>
    <r>
      <rPr>
        <sz val="9"/>
        <color rgb="FF000000"/>
        <rFont val="Meiryo"/>
        <family val="0"/>
        <charset val="1"/>
      </rPr>
      <t xml:space="preserve">: 9/1</t>
    </r>
    <r>
      <rPr>
        <sz val="9"/>
        <color rgb="FF000000"/>
        <rFont val="WenQuanYi Zen Hei"/>
        <family val="2"/>
      </rPr>
      <t xml:space="preserve">〜</t>
    </r>
    <r>
      <rPr>
        <sz val="9"/>
        <color rgb="FF000000"/>
        <rFont val="Meiryo"/>
        <family val="0"/>
        <charset val="1"/>
      </rPr>
      <t xml:space="preserve">12/28</t>
    </r>
    <r>
      <rPr>
        <sz val="9"/>
        <color rgb="FF000000"/>
        <rFont val="WenQuanYi Zen Hei"/>
        <family val="2"/>
      </rPr>
      <t xml:space="preserve">（約</t>
    </r>
    <r>
      <rPr>
        <sz val="9"/>
        <color rgb="FF000000"/>
        <rFont val="Meiryo"/>
        <family val="0"/>
        <charset val="1"/>
      </rPr>
      <t xml:space="preserve">3.9</t>
    </r>
    <r>
      <rPr>
        <sz val="9"/>
        <color rgb="FF000000"/>
        <rFont val="WenQuanYi Zen Hei"/>
        <family val="2"/>
      </rPr>
      <t xml:space="preserve">ヶ月）
オプション</t>
    </r>
    <r>
      <rPr>
        <sz val="9"/>
        <color rgb="FF000000"/>
        <rFont val="Meiryo"/>
        <family val="0"/>
        <charset val="1"/>
      </rPr>
      <t xml:space="preserve">A: 27/1/1</t>
    </r>
    <r>
      <rPr>
        <sz val="9"/>
        <color rgb="FF000000"/>
        <rFont val="WenQuanYi Zen Hei"/>
        <family val="2"/>
      </rPr>
      <t xml:space="preserve">〜</t>
    </r>
    <r>
      <rPr>
        <sz val="9"/>
        <color rgb="FF000000"/>
        <rFont val="Meiryo"/>
        <family val="0"/>
        <charset val="1"/>
      </rPr>
      <t xml:space="preserve">1/31</t>
    </r>
  </si>
  <si>
    <r>
      <rPr>
        <sz val="9"/>
        <color rgb="FF000000"/>
        <rFont val="WenQuanYi Zen Hei"/>
        <family val="2"/>
      </rPr>
      <t xml:space="preserve">貴社要求は</t>
    </r>
    <r>
      <rPr>
        <sz val="9"/>
        <color rgb="FF000000"/>
        <rFont val="Meiryo"/>
        <family val="0"/>
        <charset val="1"/>
      </rPr>
      <t xml:space="preserve">9</t>
    </r>
    <r>
      <rPr>
        <sz val="9"/>
        <color rgb="FF000000"/>
        <rFont val="WenQuanYi Zen Hei"/>
        <family val="2"/>
      </rPr>
      <t xml:space="preserve">〜</t>
    </r>
    <r>
      <rPr>
        <sz val="9"/>
        <color rgb="FF000000"/>
        <rFont val="Meiryo"/>
        <family val="0"/>
        <charset val="1"/>
      </rPr>
      <t xml:space="preserve">11</t>
    </r>
    <r>
      <rPr>
        <sz val="9"/>
        <color rgb="FF000000"/>
        <rFont val="WenQuanYi Zen Hei"/>
        <family val="2"/>
      </rPr>
      <t xml:space="preserve">月の</t>
    </r>
    <r>
      <rPr>
        <sz val="9"/>
        <color rgb="FF000000"/>
        <rFont val="Meiryo"/>
        <family val="0"/>
        <charset val="1"/>
      </rPr>
      <t xml:space="preserve">3</t>
    </r>
    <r>
      <rPr>
        <sz val="9"/>
        <color rgb="FF000000"/>
        <rFont val="WenQuanYi Zen Hei"/>
        <family val="2"/>
      </rPr>
      <t xml:space="preserve">ヶ月</t>
    </r>
  </si>
  <si>
    <t xml:space="preserve">月額換算（概算・基本スコープのみ）</t>
  </si>
  <si>
    <r>
      <rPr>
        <sz val="9"/>
        <color rgb="FF000000"/>
        <rFont val="WenQuanYi Zen Hei"/>
        <family val="2"/>
      </rPr>
      <t xml:space="preserve">約</t>
    </r>
    <r>
      <rPr>
        <sz val="9"/>
        <color rgb="FF000000"/>
        <rFont val="Meiryo"/>
        <family val="0"/>
        <charset val="1"/>
      </rPr>
      <t xml:space="preserve">800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t>
    </r>
  </si>
  <si>
    <r>
      <rPr>
        <sz val="9"/>
        <color rgb="FF000000"/>
        <rFont val="WenQuanYi Zen Hei"/>
        <family val="2"/>
      </rPr>
      <t xml:space="preserve">案①約</t>
    </r>
    <r>
      <rPr>
        <sz val="9"/>
        <color rgb="FF000000"/>
        <rFont val="Meiryo"/>
        <family val="0"/>
        <charset val="1"/>
      </rPr>
      <t xml:space="preserve">930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
案②約</t>
    </r>
    <r>
      <rPr>
        <sz val="9"/>
        <color rgb="FF000000"/>
        <rFont val="Meiryo"/>
        <family val="0"/>
        <charset val="1"/>
      </rPr>
      <t xml:space="preserve">750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t>
    </r>
  </si>
  <si>
    <r>
      <rPr>
        <sz val="9"/>
        <color rgb="FF000000"/>
        <rFont val="WenQuanYi Zen Hei"/>
        <family val="2"/>
      </rPr>
      <t xml:space="preserve">約</t>
    </r>
    <r>
      <rPr>
        <sz val="9"/>
        <color rgb="FF000000"/>
        <rFont val="Meiryo"/>
        <family val="0"/>
        <charset val="1"/>
      </rPr>
      <t xml:space="preserve">1,360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t>
    </r>
  </si>
  <si>
    <r>
      <rPr>
        <sz val="9"/>
        <color rgb="FF000000"/>
        <rFont val="WenQuanYi Zen Hei"/>
        <family val="2"/>
      </rPr>
      <t xml:space="preserve">期間差を正規化しても</t>
    </r>
    <r>
      <rPr>
        <sz val="9"/>
        <color rgb="FF000000"/>
        <rFont val="Meiryo"/>
        <family val="0"/>
        <charset val="1"/>
      </rPr>
      <t xml:space="preserve">C</t>
    </r>
    <r>
      <rPr>
        <sz val="9"/>
        <color rgb="FF000000"/>
        <rFont val="WenQuanYi Zen Hei"/>
        <family val="2"/>
      </rPr>
      <t xml:space="preserve">社は他社の</t>
    </r>
    <r>
      <rPr>
        <sz val="9"/>
        <color rgb="FF000000"/>
        <rFont val="Meiryo"/>
        <family val="0"/>
        <charset val="1"/>
      </rPr>
      <t xml:space="preserve">1.5</t>
    </r>
    <r>
      <rPr>
        <sz val="9"/>
        <color rgb="FF000000"/>
        <rFont val="WenQuanYi Zen Hei"/>
        <family val="2"/>
      </rPr>
      <t xml:space="preserve">〜</t>
    </r>
    <r>
      <rPr>
        <sz val="9"/>
        <color rgb="FF000000"/>
        <rFont val="Meiryo"/>
        <family val="0"/>
        <charset val="1"/>
      </rPr>
      <t xml:space="preserve">1.8</t>
    </r>
    <r>
      <rPr>
        <sz val="9"/>
        <color rgb="FF000000"/>
        <rFont val="WenQuanYi Zen Hei"/>
        <family val="2"/>
      </rPr>
      <t xml:space="preserve">倍。単純な期間長さでは説明できない</t>
    </r>
  </si>
  <si>
    <r>
      <rPr>
        <b val="true"/>
        <sz val="9"/>
        <color rgb="FF000000"/>
        <rFont val="WenQuanYi Zen Hei"/>
        <family val="2"/>
      </rPr>
      <t xml:space="preserve">品質点あたりコスト（見積額</t>
    </r>
    <r>
      <rPr>
        <b val="true"/>
        <sz val="9"/>
        <color rgb="FF000000"/>
        <rFont val="Meiryo"/>
        <family val="0"/>
        <charset val="1"/>
      </rPr>
      <t xml:space="preserve">÷Q</t>
    </r>
    <r>
      <rPr>
        <b val="true"/>
        <sz val="9"/>
        <color rgb="FF000000"/>
        <rFont val="WenQuanYi Zen Hei"/>
        <family val="2"/>
      </rPr>
      <t xml:space="preserve">得点）※スコープ差を含む粗い指標</t>
    </r>
  </si>
  <si>
    <r>
      <rPr>
        <sz val="9"/>
        <color rgb="FF000000"/>
        <rFont val="Meiryo"/>
        <family val="0"/>
        <charset val="1"/>
      </rPr>
      <t xml:space="preserve">82.2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
</t>
    </r>
    <r>
      <rPr>
        <sz val="9"/>
        <color rgb="FF000000"/>
        <rFont val="Meiryo"/>
        <family val="0"/>
        <charset val="1"/>
      </rPr>
      <t xml:space="preserve">(2,400</t>
    </r>
    <r>
      <rPr>
        <sz val="9"/>
        <color rgb="FF000000"/>
        <rFont val="WenQuanYi Zen Hei"/>
        <family val="2"/>
      </rPr>
      <t xml:space="preserve">万円</t>
    </r>
    <r>
      <rPr>
        <sz val="9"/>
        <color rgb="FF000000"/>
        <rFont val="Meiryo"/>
        <family val="0"/>
        <charset val="1"/>
      </rPr>
      <t xml:space="preserve">÷29.2</t>
    </r>
    <r>
      <rPr>
        <sz val="9"/>
        <color rgb="FF000000"/>
        <rFont val="WenQuanYi Zen Hei"/>
        <family val="2"/>
      </rPr>
      <t xml:space="preserve">点</t>
    </r>
    <r>
      <rPr>
        <sz val="9"/>
        <color rgb="FF000000"/>
        <rFont val="Meiryo"/>
        <family val="0"/>
        <charset val="1"/>
      </rPr>
      <t xml:space="preserve">)</t>
    </r>
  </si>
  <si>
    <r>
      <rPr>
        <sz val="9"/>
        <color rgb="FF000000"/>
        <rFont val="Meiryo"/>
        <family val="0"/>
        <charset val="1"/>
      </rPr>
      <t xml:space="preserve">74.2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t>
    </r>
    <r>
      <rPr>
        <sz val="9"/>
        <color rgb="FF000000"/>
        <rFont val="WenQuanYi Zen Hei"/>
        <family val="2"/>
      </rPr>
      <t xml:space="preserve">案②</t>
    </r>
    <r>
      <rPr>
        <sz val="9"/>
        <color rgb="FF000000"/>
        <rFont val="Meiryo"/>
        <family val="0"/>
        <charset val="1"/>
      </rPr>
      <t xml:space="preserve">)
92.0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t>
    </r>
    <r>
      <rPr>
        <sz val="9"/>
        <color rgb="FF000000"/>
        <rFont val="WenQuanYi Zen Hei"/>
        <family val="2"/>
      </rPr>
      <t xml:space="preserve">案①</t>
    </r>
    <r>
      <rPr>
        <sz val="9"/>
        <color rgb="FF000000"/>
        <rFont val="Meiryo"/>
        <family val="0"/>
        <charset val="1"/>
      </rPr>
      <t xml:space="preserve">)</t>
    </r>
  </si>
  <si>
    <r>
      <rPr>
        <sz val="9"/>
        <color rgb="FF000000"/>
        <rFont val="Meiryo"/>
        <family val="0"/>
        <charset val="1"/>
      </rPr>
      <t xml:space="preserve">113.2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
</t>
    </r>
    <r>
      <rPr>
        <sz val="9"/>
        <color rgb="FF000000"/>
        <rFont val="Meiryo"/>
        <family val="0"/>
        <charset val="1"/>
      </rPr>
      <t xml:space="preserve">(</t>
    </r>
    <r>
      <rPr>
        <sz val="9"/>
        <color rgb="FF000000"/>
        <rFont val="WenQuanYi Zen Hei"/>
        <family val="2"/>
      </rPr>
      <t xml:space="preserve">基本</t>
    </r>
    <r>
      <rPr>
        <sz val="9"/>
        <color rgb="FF000000"/>
        <rFont val="Meiryo"/>
        <family val="0"/>
        <charset val="1"/>
      </rPr>
      <t xml:space="preserve">5,300</t>
    </r>
    <r>
      <rPr>
        <sz val="9"/>
        <color rgb="FF000000"/>
        <rFont val="WenQuanYi Zen Hei"/>
        <family val="2"/>
      </rPr>
      <t xml:space="preserve">万円</t>
    </r>
    <r>
      <rPr>
        <sz val="9"/>
        <color rgb="FF000000"/>
        <rFont val="Meiryo"/>
        <family val="0"/>
        <charset val="1"/>
      </rPr>
      <t xml:space="preserve">÷46.8</t>
    </r>
    <r>
      <rPr>
        <sz val="9"/>
        <color rgb="FF000000"/>
        <rFont val="WenQuanYi Zen Hei"/>
        <family val="2"/>
      </rPr>
      <t xml:space="preserve">点</t>
    </r>
    <r>
      <rPr>
        <sz val="9"/>
        <color rgb="FF000000"/>
        <rFont val="Meiryo"/>
        <family val="0"/>
        <charset val="1"/>
      </rPr>
      <t xml:space="preserve">)</t>
    </r>
  </si>
  <si>
    <r>
      <rPr>
        <sz val="9"/>
        <color rgb="FF000000"/>
        <rFont val="WenQuanYi Zen Hei"/>
        <family val="2"/>
      </rPr>
      <t xml:space="preserve">①成果物カバレッジ比較のとおりスコープは同一でないため、この数値はスコープ差込みの粗い指標。ただし</t>
    </r>
    <r>
      <rPr>
        <sz val="9"/>
        <color rgb="FF000000"/>
        <rFont val="Meiryo"/>
        <family val="0"/>
        <charset val="1"/>
      </rPr>
      <t xml:space="preserve">PwC</t>
    </r>
    <r>
      <rPr>
        <sz val="9"/>
        <color rgb="FF000000"/>
        <rFont val="WenQuanYi Zen Hei"/>
        <family val="2"/>
      </rPr>
      <t xml:space="preserve">案②は展開計画・</t>
    </r>
    <r>
      <rPr>
        <sz val="9"/>
        <color rgb="FF000000"/>
        <rFont val="Meiryo"/>
        <family val="0"/>
        <charset val="1"/>
      </rPr>
      <t xml:space="preserve">PJ</t>
    </r>
    <r>
      <rPr>
        <sz val="9"/>
        <color rgb="FF000000"/>
        <rFont val="WenQuanYi Zen Hei"/>
        <family val="2"/>
      </rPr>
      <t xml:space="preserve">計画書等アビームの基本スコープにない成果物を含んだ上でなおこの単価であり、スコープ差を考慮しても</t>
    </r>
    <r>
      <rPr>
        <sz val="9"/>
        <color rgb="FF000000"/>
        <rFont val="Meiryo"/>
        <family val="0"/>
        <charset val="1"/>
      </rPr>
      <t xml:space="preserve">C</t>
    </r>
    <r>
      <rPr>
        <sz val="9"/>
        <color rgb="FF000000"/>
        <rFont val="WenQuanYi Zen Hei"/>
        <family val="2"/>
      </rPr>
      <t xml:space="preserve">社の割高感は残る</t>
    </r>
  </si>
  <si>
    <r>
      <rPr>
        <b val="true"/>
        <sz val="9"/>
        <color rgb="FF000000"/>
        <rFont val="Meiryo"/>
        <family val="0"/>
        <charset val="1"/>
      </rPr>
      <t xml:space="preserve">RFP</t>
    </r>
    <r>
      <rPr>
        <b val="true"/>
        <sz val="9"/>
        <color rgb="FF000000"/>
        <rFont val="WenQuanYi Zen Hei"/>
        <family val="2"/>
      </rPr>
      <t xml:space="preserve">完成・発行時期</t>
    </r>
  </si>
  <si>
    <r>
      <rPr>
        <sz val="9"/>
        <color rgb="FF000000"/>
        <rFont val="Meiryo"/>
        <family val="0"/>
        <charset val="1"/>
      </rPr>
      <t xml:space="preserve">11</t>
    </r>
    <r>
      <rPr>
        <sz val="9"/>
        <color rgb="FF000000"/>
        <rFont val="WenQuanYi Zen Hei"/>
        <family val="2"/>
      </rPr>
      <t xml:space="preserve">月末に作成完了・貴社承認済み（発出は後続）</t>
    </r>
  </si>
  <si>
    <r>
      <rPr>
        <sz val="9"/>
        <color rgb="FF000000"/>
        <rFont val="Meiryo"/>
        <family val="0"/>
        <charset val="1"/>
      </rPr>
      <t xml:space="preserve">RFP</t>
    </r>
    <r>
      <rPr>
        <sz val="9"/>
        <color rgb="FF000000"/>
        <rFont val="WenQuanYi Zen Hei"/>
        <family val="2"/>
      </rPr>
      <t xml:space="preserve">発出 </t>
    </r>
    <r>
      <rPr>
        <sz val="9"/>
        <color rgb="FF000000"/>
        <rFont val="Meiryo"/>
        <family val="0"/>
        <charset val="1"/>
      </rPr>
      <t xml:space="preserve">12</t>
    </r>
    <r>
      <rPr>
        <sz val="9"/>
        <color rgb="FF000000"/>
        <rFont val="WenQuanYi Zen Hei"/>
        <family val="2"/>
      </rPr>
      <t xml:space="preserve">月末（仮）</t>
    </r>
  </si>
  <si>
    <r>
      <rPr>
        <sz val="9"/>
        <color rgb="FF000000"/>
        <rFont val="Meiryo"/>
        <family val="0"/>
        <charset val="1"/>
      </rPr>
      <t xml:space="preserve">RFP</t>
    </r>
    <r>
      <rPr>
        <sz val="9"/>
        <color rgb="FF000000"/>
        <rFont val="WenQuanYi Zen Hei"/>
        <family val="2"/>
      </rPr>
      <t xml:space="preserve">発行 「年内」＝基本スコープ期間の末（</t>
    </r>
    <r>
      <rPr>
        <sz val="9"/>
        <color rgb="FF000000"/>
        <rFont val="Meiryo"/>
        <family val="0"/>
        <charset val="1"/>
      </rPr>
      <t xml:space="preserve">12/28</t>
    </r>
    <r>
      <rPr>
        <sz val="9"/>
        <color rgb="FF000000"/>
        <rFont val="WenQuanYi Zen Hei"/>
        <family val="2"/>
      </rPr>
      <t xml:space="preserve">）</t>
    </r>
  </si>
  <si>
    <r>
      <rPr>
        <sz val="9"/>
        <color rgb="FF000000"/>
        <rFont val="Meiryo"/>
        <family val="0"/>
        <charset val="1"/>
      </rPr>
      <t xml:space="preserve">11</t>
    </r>
    <r>
      <rPr>
        <sz val="9"/>
        <color rgb="FF000000"/>
        <rFont val="WenQuanYi Zen Hei"/>
        <family val="2"/>
      </rPr>
      <t xml:space="preserve">月末要求を満たすのは</t>
    </r>
    <r>
      <rPr>
        <sz val="9"/>
        <color rgb="FF000000"/>
        <rFont val="Meiryo"/>
        <family val="0"/>
        <charset val="1"/>
      </rPr>
      <t xml:space="preserve">A</t>
    </r>
    <r>
      <rPr>
        <sz val="9"/>
        <color rgb="FF000000"/>
        <rFont val="WenQuanYi Zen Hei"/>
        <family val="2"/>
      </rPr>
      <t xml:space="preserve">社のみ。</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で期日を</t>
    </r>
    <r>
      <rPr>
        <sz val="9"/>
        <color rgb="FF000000"/>
        <rFont val="Meiryo"/>
        <family val="0"/>
        <charset val="1"/>
      </rPr>
      <t xml:space="preserve">12/28</t>
    </r>
    <r>
      <rPr>
        <sz val="9"/>
        <color rgb="FF000000"/>
        <rFont val="WenQuanYi Zen Hei"/>
        <family val="2"/>
      </rPr>
      <t xml:space="preserve">と明確化したが</t>
    </r>
    <r>
      <rPr>
        <sz val="9"/>
        <color rgb="FF000000"/>
        <rFont val="Meiryo"/>
        <family val="0"/>
        <charset val="1"/>
      </rPr>
      <t xml:space="preserve">11</t>
    </r>
    <r>
      <rPr>
        <sz val="9"/>
        <color rgb="FF000000"/>
        <rFont val="WenQuanYi Zen Hei"/>
        <family val="2"/>
      </rPr>
      <t xml:space="preserve">月末には未達</t>
    </r>
  </si>
  <si>
    <t xml:space="preserve">ベンダー評価・選定</t>
  </si>
  <si>
    <t xml:space="preserve">含まない（後続フェーズ）</t>
  </si>
  <si>
    <t xml:space="preserve">含まない</t>
  </si>
  <si>
    <r>
      <rPr>
        <sz val="9"/>
        <color rgb="FF000000"/>
        <rFont val="WenQuanYi Zen Hei"/>
        <family val="2"/>
      </rPr>
      <t xml:space="preserve">オプション</t>
    </r>
    <r>
      <rPr>
        <sz val="9"/>
        <color rgb="FF000000"/>
        <rFont val="Meiryo"/>
        <family val="0"/>
        <charset val="1"/>
      </rPr>
      <t xml:space="preserve">A</t>
    </r>
    <r>
      <rPr>
        <sz val="9"/>
        <color rgb="FF000000"/>
        <rFont val="WenQuanYi Zen Hei"/>
        <family val="2"/>
      </rPr>
      <t xml:space="preserve">（</t>
    </r>
    <r>
      <rPr>
        <sz val="9"/>
        <color rgb="FF000000"/>
        <rFont val="Meiryo"/>
        <family val="0"/>
        <charset val="1"/>
      </rPr>
      <t xml:space="preserve">2027</t>
    </r>
    <r>
      <rPr>
        <sz val="9"/>
        <color rgb="FF000000"/>
        <rFont val="WenQuanYi Zen Hei"/>
        <family val="2"/>
      </rPr>
      <t xml:space="preserve">年</t>
    </r>
    <r>
      <rPr>
        <sz val="9"/>
        <color rgb="FF000000"/>
        <rFont val="Meiryo"/>
        <family val="0"/>
        <charset val="1"/>
      </rPr>
      <t xml:space="preserve">1</t>
    </r>
    <r>
      <rPr>
        <sz val="9"/>
        <color rgb="FF000000"/>
        <rFont val="WenQuanYi Zen Hei"/>
        <family val="2"/>
      </rPr>
      <t xml:space="preserve">月末まで、</t>
    </r>
    <r>
      <rPr>
        <sz val="9"/>
        <color rgb="FF000000"/>
        <rFont val="Meiryo"/>
        <family val="0"/>
        <charset val="1"/>
      </rPr>
      <t xml:space="preserve">300</t>
    </r>
    <r>
      <rPr>
        <sz val="9"/>
        <color rgb="FF000000"/>
        <rFont val="WenQuanYi Zen Hei"/>
        <family val="2"/>
      </rPr>
      <t xml:space="preserve">万円）</t>
    </r>
  </si>
  <si>
    <r>
      <rPr>
        <sz val="9"/>
        <color rgb="FF000000"/>
        <rFont val="Meiryo"/>
        <family val="0"/>
        <charset val="1"/>
      </rPr>
      <t xml:space="preserve">v1.1</t>
    </r>
    <r>
      <rPr>
        <sz val="9"/>
        <color rgb="FF000000"/>
        <rFont val="WenQuanYi Zen Hei"/>
        <family val="2"/>
      </rPr>
      <t xml:space="preserve">で価格分離。除いても基本スコープ単体でなお他社より高い</t>
    </r>
  </si>
  <si>
    <t xml:space="preserve">非システム課題の整理・ロードマップ（ガバナンス・組織体制／サステナマネジメント／ロードマップ／効果試算）</t>
  </si>
  <si>
    <r>
      <rPr>
        <sz val="9"/>
        <color rgb="FF000000"/>
        <rFont val="WenQuanYi Zen Hei"/>
        <family val="2"/>
      </rPr>
      <t xml:space="preserve">オプション</t>
    </r>
    <r>
      <rPr>
        <sz val="9"/>
        <color rgb="FF000000"/>
        <rFont val="Meiryo"/>
        <family val="0"/>
        <charset val="1"/>
      </rPr>
      <t xml:space="preserve">B</t>
    </r>
    <r>
      <rPr>
        <sz val="9"/>
        <color rgb="FF000000"/>
        <rFont val="WenQuanYi Zen Hei"/>
        <family val="2"/>
      </rPr>
      <t xml:space="preserve">（</t>
    </r>
    <r>
      <rPr>
        <sz val="9"/>
        <color rgb="FF000000"/>
        <rFont val="Meiryo"/>
        <family val="0"/>
        <charset val="1"/>
      </rPr>
      <t xml:space="preserve">2,200</t>
    </r>
    <r>
      <rPr>
        <sz val="9"/>
        <color rgb="FF000000"/>
        <rFont val="WenQuanYi Zen Hei"/>
        <family val="2"/>
      </rPr>
      <t xml:space="preserve">万円）。ただし</t>
    </r>
    <r>
      <rPr>
        <sz val="9"/>
        <color rgb="FF000000"/>
        <rFont val="Meiryo"/>
        <family val="0"/>
        <charset val="1"/>
      </rPr>
      <t xml:space="preserve">#12</t>
    </r>
    <r>
      <rPr>
        <sz val="9"/>
        <color rgb="FF000000"/>
        <rFont val="WenQuanYi Zen Hei"/>
        <family val="2"/>
      </rPr>
      <t xml:space="preserve">のうち証憑・承認の統制要件のシステム要件化に必要な事前協議は基本スコープに残置</t>
    </r>
  </si>
  <si>
    <r>
      <rPr>
        <sz val="9"/>
        <color rgb="FF000000"/>
        <rFont val="Meiryo"/>
        <family val="0"/>
        <charset val="1"/>
      </rPr>
      <t xml:space="preserve">v1.1</t>
    </r>
    <r>
      <rPr>
        <sz val="9"/>
        <color rgb="FF000000"/>
        <rFont val="WenQuanYi Zen Hei"/>
        <family val="2"/>
      </rPr>
      <t xml:space="preserve">で価格分離。</t>
    </r>
    <r>
      <rPr>
        <sz val="9"/>
        <color rgb="FF000000"/>
        <rFont val="Meiryo"/>
        <family val="0"/>
        <charset val="1"/>
      </rPr>
      <t xml:space="preserve">Q3</t>
    </r>
    <r>
      <rPr>
        <sz val="9"/>
        <color rgb="FF000000"/>
        <rFont val="WenQuanYi Zen Hei"/>
        <family val="2"/>
      </rPr>
      <t xml:space="preserve">の評価根拠（証跡・統制の機能要件化）は基本スコープに残るため品質評価への影響は限定的</t>
    </r>
  </si>
  <si>
    <r>
      <rPr>
        <b val="true"/>
        <sz val="9"/>
        <color rgb="FF000000"/>
        <rFont val="WenQuanYi Zen Hei"/>
        <family val="2"/>
      </rPr>
      <t xml:space="preserve">効果試算・</t>
    </r>
    <r>
      <rPr>
        <b val="true"/>
        <sz val="9"/>
        <color rgb="FF000000"/>
        <rFont val="Meiryo"/>
        <family val="0"/>
        <charset val="1"/>
      </rPr>
      <t xml:space="preserve">ROI</t>
    </r>
    <r>
      <rPr>
        <b val="true"/>
        <sz val="9"/>
        <color rgb="FF000000"/>
        <rFont val="WenQuanYi Zen Hei"/>
        <family val="2"/>
      </rPr>
      <t xml:space="preserve">・経営上申支援</t>
    </r>
  </si>
  <si>
    <r>
      <rPr>
        <sz val="9"/>
        <color rgb="FF000000"/>
        <rFont val="WenQuanYi Zen Hei"/>
        <family val="2"/>
      </rPr>
      <t xml:space="preserve">含まない（</t>
    </r>
    <r>
      <rPr>
        <sz val="9"/>
        <color rgb="FF000000"/>
        <rFont val="Meiryo"/>
        <family val="0"/>
        <charset val="1"/>
      </rPr>
      <t xml:space="preserve">Appendix</t>
    </r>
    <r>
      <rPr>
        <sz val="9"/>
        <color rgb="FF000000"/>
        <rFont val="WenQuanYi Zen Hei"/>
        <family val="2"/>
      </rPr>
      <t xml:space="preserve">に方法論提示のみ）</t>
    </r>
  </si>
  <si>
    <r>
      <rPr>
        <sz val="9"/>
        <color rgb="FF000000"/>
        <rFont val="WenQuanYi Zen Hei"/>
        <family val="2"/>
      </rPr>
      <t xml:space="preserve">オプション</t>
    </r>
    <r>
      <rPr>
        <sz val="9"/>
        <color rgb="FF000000"/>
        <rFont val="Meiryo"/>
        <family val="0"/>
        <charset val="1"/>
      </rPr>
      <t xml:space="preserve">B</t>
    </r>
    <r>
      <rPr>
        <sz val="9"/>
        <color rgb="FF000000"/>
        <rFont val="WenQuanYi Zen Hei"/>
        <family val="2"/>
      </rPr>
      <t xml:space="preserve">に含む（</t>
    </r>
    <r>
      <rPr>
        <sz val="9"/>
        <color rgb="FF000000"/>
        <rFont val="Meiryo"/>
        <family val="0"/>
        <charset val="1"/>
      </rPr>
      <t xml:space="preserve">As-Is</t>
    </r>
    <r>
      <rPr>
        <sz val="9"/>
        <color rgb="FF000000"/>
        <rFont val="WenQuanYi Zen Hei"/>
        <family val="2"/>
      </rPr>
      <t xml:space="preserve">実測ベースの</t>
    </r>
    <r>
      <rPr>
        <sz val="9"/>
        <color rgb="FF000000"/>
        <rFont val="Meiryo"/>
        <family val="0"/>
        <charset val="1"/>
      </rPr>
      <t xml:space="preserve">ROI</t>
    </r>
    <r>
      <rPr>
        <sz val="9"/>
        <color rgb="FF000000"/>
        <rFont val="WenQuanYi Zen Hei"/>
        <family val="2"/>
      </rPr>
      <t xml:space="preserve">精緻化・上申資料）</t>
    </r>
  </si>
  <si>
    <t xml:space="preserve">オプション化により基準スコープからは除外済み</t>
  </si>
  <si>
    <r>
      <rPr>
        <b val="true"/>
        <sz val="9"/>
        <color rgb="FF000000"/>
        <rFont val="WenQuanYi Zen Hei"/>
        <family val="2"/>
      </rPr>
      <t xml:space="preserve">展開計画・定着計画・</t>
    </r>
    <r>
      <rPr>
        <b val="true"/>
        <sz val="9"/>
        <color rgb="FF000000"/>
        <rFont val="Meiryo"/>
        <family val="0"/>
        <charset val="1"/>
      </rPr>
      <t xml:space="preserve">PJ</t>
    </r>
    <r>
      <rPr>
        <b val="true"/>
        <sz val="9"/>
        <color rgb="FF000000"/>
        <rFont val="WenQuanYi Zen Hei"/>
        <family val="2"/>
      </rPr>
      <t xml:space="preserve">計画書</t>
    </r>
  </si>
  <si>
    <t xml:space="preserve">案①②は含む（案③は含まない）</t>
  </si>
  <si>
    <r>
      <rPr>
        <sz val="9"/>
        <color rgb="FF000000"/>
        <rFont val="WenQuanYi Zen Hei"/>
        <family val="2"/>
      </rPr>
      <t xml:space="preserve">一部含む（システム化方針書＝</t>
    </r>
    <r>
      <rPr>
        <sz val="9"/>
        <color rgb="FF000000"/>
        <rFont val="Meiryo"/>
        <family val="0"/>
        <charset val="1"/>
      </rPr>
      <t xml:space="preserve">#9</t>
    </r>
    <r>
      <rPr>
        <sz val="9"/>
        <color rgb="FF000000"/>
        <rFont val="WenQuanYi Zen Hei"/>
        <family val="2"/>
      </rPr>
      <t xml:space="preserve">、基本スコープ内）</t>
    </r>
  </si>
  <si>
    <r>
      <rPr>
        <sz val="9"/>
        <color rgb="FF000000"/>
        <rFont val="Meiryo"/>
        <family val="0"/>
        <charset val="1"/>
      </rPr>
      <t xml:space="preserve">B</t>
    </r>
    <r>
      <rPr>
        <sz val="9"/>
        <color rgb="FF000000"/>
        <rFont val="WenQuanYi Zen Hei"/>
        <family val="2"/>
      </rPr>
      <t xml:space="preserve">社の案①②③の価格差の主要因</t>
    </r>
  </si>
  <si>
    <t xml:space="preserve">アーキテクチャ検討</t>
  </si>
  <si>
    <t xml:space="preserve">非機能要件の一部として整理</t>
  </si>
  <si>
    <t xml:space="preserve">案①②は素案作成を含む</t>
  </si>
  <si>
    <r>
      <rPr>
        <sz val="9"/>
        <color rgb="FF000000"/>
        <rFont val="WenQuanYi Zen Hei"/>
        <family val="2"/>
      </rPr>
      <t xml:space="preserve">システム構成案策定（</t>
    </r>
    <r>
      <rPr>
        <sz val="9"/>
        <color rgb="FF000000"/>
        <rFont val="Meiryo"/>
        <family val="0"/>
        <charset val="1"/>
      </rPr>
      <t xml:space="preserve">#4</t>
    </r>
    <r>
      <rPr>
        <sz val="9"/>
        <color rgb="FF000000"/>
        <rFont val="WenQuanYi Zen Hei"/>
        <family val="2"/>
      </rPr>
      <t xml:space="preserve">）を基本スコープに含む</t>
    </r>
  </si>
  <si>
    <r>
      <rPr>
        <sz val="9"/>
        <color rgb="FF000000"/>
        <rFont val="Meiryo"/>
        <family val="0"/>
        <charset val="1"/>
      </rPr>
      <t xml:space="preserve">C</t>
    </r>
    <r>
      <rPr>
        <sz val="9"/>
        <color rgb="FF000000"/>
        <rFont val="WenQuanYi Zen Hei"/>
        <family val="2"/>
      </rPr>
      <t xml:space="preserve">社は基本スコープの中でも作り込みが深い（稼働直後</t>
    </r>
    <r>
      <rPr>
        <sz val="9"/>
        <color rgb="FF000000"/>
        <rFont val="Meiryo"/>
        <family val="0"/>
        <charset val="1"/>
      </rPr>
      <t xml:space="preserve">/</t>
    </r>
    <r>
      <rPr>
        <sz val="9"/>
        <color rgb="FF000000"/>
        <rFont val="WenQuanYi Zen Hei"/>
        <family val="2"/>
      </rPr>
      <t xml:space="preserve">数年後の</t>
    </r>
    <r>
      <rPr>
        <sz val="9"/>
        <color rgb="FF000000"/>
        <rFont val="Meiryo"/>
        <family val="0"/>
        <charset val="1"/>
      </rPr>
      <t xml:space="preserve">2</t>
    </r>
    <r>
      <rPr>
        <sz val="9"/>
        <color rgb="FF000000"/>
        <rFont val="WenQuanYi Zen Hei"/>
        <family val="2"/>
      </rPr>
      <t xml:space="preserve">段階設計）</t>
    </r>
  </si>
  <si>
    <t xml:space="preserve">攻め（経営活用）の要件化</t>
  </si>
  <si>
    <t xml:space="preserve">初期仮説の提示まで</t>
  </si>
  <si>
    <r>
      <rPr>
        <sz val="9"/>
        <color rgb="FF000000"/>
        <rFont val="Meiryo"/>
        <family val="0"/>
        <charset val="1"/>
      </rPr>
      <t xml:space="preserve">Step2</t>
    </r>
    <r>
      <rPr>
        <sz val="9"/>
        <color rgb="FF000000"/>
        <rFont val="WenQuanYi Zen Hei"/>
        <family val="2"/>
      </rPr>
      <t xml:space="preserve">以降に後ろ倒し</t>
    </r>
  </si>
  <si>
    <r>
      <rPr>
        <sz val="9"/>
        <color rgb="FF000000"/>
        <rFont val="WenQuanYi Zen Hei"/>
        <family val="2"/>
      </rPr>
      <t xml:space="preserve">出口設計（</t>
    </r>
    <r>
      <rPr>
        <sz val="9"/>
        <color rgb="FF000000"/>
        <rFont val="Meiryo"/>
        <family val="0"/>
        <charset val="1"/>
      </rPr>
      <t xml:space="preserve">#2</t>
    </r>
    <r>
      <rPr>
        <sz val="9"/>
        <color rgb="FF000000"/>
        <rFont val="WenQuanYi Zen Hei"/>
        <family val="2"/>
      </rPr>
      <t xml:space="preserve">）でユースケース優先度評価まで基本スコープに残置</t>
    </r>
  </si>
  <si>
    <r>
      <rPr>
        <sz val="9"/>
        <color rgb="FF000000"/>
        <rFont val="WenQuanYi Zen Hei"/>
        <family val="2"/>
      </rPr>
      <t xml:space="preserve">オプション化後も攻めの要件化は基本スコープ内＝</t>
    </r>
    <r>
      <rPr>
        <sz val="9"/>
        <color rgb="FF000000"/>
        <rFont val="Meiryo"/>
        <family val="0"/>
        <charset val="1"/>
      </rPr>
      <t xml:space="preserve">Q4</t>
    </r>
    <r>
      <rPr>
        <sz val="9"/>
        <color rgb="FF000000"/>
        <rFont val="WenQuanYi Zen Hei"/>
        <family val="2"/>
      </rPr>
      <t xml:space="preserve">評価への影響なし</t>
    </r>
  </si>
  <si>
    <t xml:space="preserve">実働体制</t>
  </si>
  <si>
    <r>
      <rPr>
        <sz val="9"/>
        <color rgb="FF000000"/>
        <rFont val="WenQuanYi Zen Hei"/>
        <family val="2"/>
      </rPr>
      <t xml:space="preserve">フルタイム</t>
    </r>
    <r>
      <rPr>
        <sz val="9"/>
        <color rgb="FF000000"/>
        <rFont val="Meiryo"/>
        <family val="0"/>
        <charset val="1"/>
      </rPr>
      <t xml:space="preserve">2</t>
    </r>
    <r>
      <rPr>
        <sz val="9"/>
        <color rgb="FF000000"/>
        <rFont val="WenQuanYi Zen Hei"/>
        <family val="2"/>
      </rPr>
      <t xml:space="preserve">名＋パートタイム</t>
    </r>
    <r>
      <rPr>
        <sz val="9"/>
        <color rgb="FF000000"/>
        <rFont val="Meiryo"/>
        <family val="0"/>
        <charset val="1"/>
      </rPr>
      <t xml:space="preserve">2</t>
    </r>
    <r>
      <rPr>
        <sz val="9"/>
        <color rgb="FF000000"/>
        <rFont val="WenQuanYi Zen Hei"/>
        <family val="2"/>
      </rPr>
      <t xml:space="preserve">名＋</t>
    </r>
    <r>
      <rPr>
        <sz val="9"/>
        <color rgb="FF000000"/>
        <rFont val="Meiryo"/>
        <family val="0"/>
        <charset val="1"/>
      </rPr>
      <t xml:space="preserve">SME</t>
    </r>
    <r>
      <rPr>
        <sz val="9"/>
        <color rgb="FF000000"/>
        <rFont val="WenQuanYi Zen Hei"/>
        <family val="2"/>
      </rPr>
      <t xml:space="preserve">適宜
（主要</t>
    </r>
    <r>
      <rPr>
        <sz val="9"/>
        <color rgb="FF000000"/>
        <rFont val="Meiryo"/>
        <family val="0"/>
        <charset val="1"/>
      </rPr>
      <t xml:space="preserve">2</t>
    </r>
    <r>
      <rPr>
        <sz val="9"/>
        <color rgb="FF000000"/>
        <rFont val="WenQuanYi Zen Hei"/>
        <family val="2"/>
      </rPr>
      <t xml:space="preserve">ポジションが「</t>
    </r>
    <r>
      <rPr>
        <sz val="9"/>
        <color rgb="FF000000"/>
        <rFont val="Meiryo"/>
        <family val="0"/>
        <charset val="1"/>
      </rPr>
      <t xml:space="preserve">or</t>
    </r>
    <r>
      <rPr>
        <sz val="9"/>
        <color rgb="FF000000"/>
        <rFont val="WenQuanYi Zen Hei"/>
        <family val="2"/>
      </rPr>
      <t xml:space="preserve">」表記）</t>
    </r>
  </si>
  <si>
    <r>
      <rPr>
        <sz val="9"/>
        <color rgb="FF000000"/>
        <rFont val="Meiryo"/>
        <family val="0"/>
        <charset val="1"/>
      </rPr>
      <t xml:space="preserve">SA/A 3</t>
    </r>
    <r>
      <rPr>
        <sz val="9"/>
        <color rgb="FF000000"/>
        <rFont val="WenQuanYi Zen Hei"/>
        <family val="2"/>
      </rPr>
      <t xml:space="preserve">名（</t>
    </r>
    <r>
      <rPr>
        <sz val="9"/>
        <color rgb="FF000000"/>
        <rFont val="Meiryo"/>
        <family val="0"/>
        <charset val="1"/>
      </rPr>
      <t xml:space="preserve">100%</t>
    </r>
    <r>
      <rPr>
        <sz val="9"/>
        <color rgb="FF000000"/>
        <rFont val="WenQuanYi Zen Hei"/>
        <family val="2"/>
      </rPr>
      <t xml:space="preserve">）＋</t>
    </r>
    <r>
      <rPr>
        <sz val="9"/>
        <color rgb="FF000000"/>
        <rFont val="Meiryo"/>
        <family val="0"/>
        <charset val="1"/>
      </rPr>
      <t xml:space="preserve">SM20%</t>
    </r>
    <r>
      <rPr>
        <sz val="9"/>
        <color rgb="FF000000"/>
        <rFont val="WenQuanYi Zen Hei"/>
        <family val="2"/>
      </rPr>
      <t xml:space="preserve">＋</t>
    </r>
    <r>
      <rPr>
        <sz val="9"/>
        <color rgb="FF000000"/>
        <rFont val="Meiryo"/>
        <family val="0"/>
        <charset val="1"/>
      </rPr>
      <t xml:space="preserve">P5%
</t>
    </r>
    <r>
      <rPr>
        <sz val="9"/>
        <color rgb="FF000000"/>
        <rFont val="WenQuanYi Zen Hei"/>
        <family val="2"/>
      </rPr>
      <t xml:space="preserve">（実働</t>
    </r>
    <r>
      <rPr>
        <sz val="9"/>
        <color rgb="FF000000"/>
        <rFont val="Meiryo"/>
        <family val="0"/>
        <charset val="1"/>
      </rPr>
      <t xml:space="preserve">3</t>
    </r>
    <r>
      <rPr>
        <sz val="9"/>
        <color rgb="FF000000"/>
        <rFont val="WenQuanYi Zen Hei"/>
        <family val="2"/>
      </rPr>
      <t xml:space="preserve">名は</t>
    </r>
    <r>
      <rPr>
        <sz val="9"/>
        <color rgb="FF000000"/>
        <rFont val="Meiryo"/>
        <family val="0"/>
        <charset val="1"/>
      </rPr>
      <t xml:space="preserve">TBD</t>
    </r>
    <r>
      <rPr>
        <sz val="9"/>
        <color rgb="FF000000"/>
        <rFont val="WenQuanYi Zen Hei"/>
        <family val="2"/>
      </rPr>
      <t xml:space="preserve">）</t>
    </r>
  </si>
  <si>
    <r>
      <rPr>
        <sz val="9"/>
        <color rgb="FF000000"/>
        <rFont val="Meiryo"/>
        <family val="0"/>
        <charset val="1"/>
      </rPr>
      <t xml:space="preserve">M</t>
    </r>
    <r>
      <rPr>
        <sz val="9"/>
        <color rgb="FF000000"/>
        <rFont val="WenQuanYi Zen Hei"/>
        <family val="2"/>
      </rPr>
      <t xml:space="preserve">＋</t>
    </r>
    <r>
      <rPr>
        <sz val="9"/>
        <color rgb="FF000000"/>
        <rFont val="Meiryo"/>
        <family val="0"/>
        <charset val="1"/>
      </rPr>
      <t xml:space="preserve">SC</t>
    </r>
    <r>
      <rPr>
        <sz val="9"/>
        <color rgb="FF000000"/>
        <rFont val="WenQuanYi Zen Hei"/>
        <family val="2"/>
      </rPr>
      <t xml:space="preserve">＋コンサル</t>
    </r>
    <r>
      <rPr>
        <sz val="9"/>
        <color rgb="FF000000"/>
        <rFont val="Meiryo"/>
        <family val="0"/>
        <charset val="1"/>
      </rPr>
      <t xml:space="preserve">3</t>
    </r>
    <r>
      <rPr>
        <sz val="9"/>
        <color rgb="FF000000"/>
        <rFont val="WenQuanYi Zen Hei"/>
        <family val="2"/>
      </rPr>
      <t xml:space="preserve">名＋アドバイザー</t>
    </r>
    <r>
      <rPr>
        <sz val="9"/>
        <color rgb="FF000000"/>
        <rFont val="Meiryo"/>
        <family val="0"/>
        <charset val="1"/>
      </rPr>
      <t xml:space="preserve">4</t>
    </r>
    <r>
      <rPr>
        <sz val="9"/>
        <color rgb="FF000000"/>
        <rFont val="WenQuanYi Zen Hei"/>
        <family val="2"/>
      </rPr>
      <t xml:space="preserve">名（</t>
    </r>
    <r>
      <rPr>
        <sz val="9"/>
        <color rgb="FF000000"/>
        <rFont val="Meiryo"/>
        <family val="0"/>
        <charset val="1"/>
      </rPr>
      <t xml:space="preserve">P/D/SM</t>
    </r>
    <r>
      <rPr>
        <sz val="9"/>
        <color rgb="FF000000"/>
        <rFont val="WenQuanYi Zen Hei"/>
        <family val="2"/>
      </rPr>
      <t xml:space="preserve">級、公認会計士含む）
※基本・オプション共通の体制表で、業務配分の内訳は非開示</t>
    </r>
  </si>
  <si>
    <r>
      <rPr>
        <sz val="9"/>
        <color rgb="FF000000"/>
        <rFont val="Meiryo"/>
        <family val="0"/>
        <charset val="1"/>
      </rPr>
      <t xml:space="preserve">C</t>
    </r>
    <r>
      <rPr>
        <sz val="9"/>
        <color rgb="FF000000"/>
        <rFont val="WenQuanYi Zen Hei"/>
        <family val="2"/>
      </rPr>
      <t xml:space="preserve">社は管理・専門層が厚い＝金額を押し上げる主要因。基本スコープに絞ってもこの体制のまま＝単価水準の高さが基本スコープの価格に直接反映</t>
    </r>
  </si>
  <si>
    <t xml:space="preserve">ファームの単価水準</t>
  </si>
  <si>
    <t xml:space="preserve">中堅独立系（相対的に低単価）</t>
  </si>
  <si>
    <r>
      <rPr>
        <sz val="9"/>
        <color rgb="FF000000"/>
        <rFont val="Meiryo"/>
        <family val="0"/>
        <charset val="1"/>
      </rPr>
      <t xml:space="preserve">Big4</t>
    </r>
    <r>
      <rPr>
        <sz val="9"/>
        <color rgb="FF000000"/>
        <rFont val="WenQuanYi Zen Hei"/>
        <family val="2"/>
      </rPr>
      <t xml:space="preserve">（高単価だが実働はジュニア層）</t>
    </r>
  </si>
  <si>
    <t xml:space="preserve">大手総合（高単価、シニア層厚め）</t>
  </si>
  <si>
    <r>
      <rPr>
        <sz val="9"/>
        <color rgb="FF000000"/>
        <rFont val="WenQuanYi Zen Hei"/>
        <family val="2"/>
      </rPr>
      <t xml:space="preserve">同ランクでも月単価に</t>
    </r>
    <r>
      <rPr>
        <sz val="9"/>
        <color rgb="FF000000"/>
        <rFont val="Meiryo"/>
        <family val="0"/>
        <charset val="1"/>
      </rPr>
      <t xml:space="preserve">1.5</t>
    </r>
    <r>
      <rPr>
        <sz val="9"/>
        <color rgb="FF000000"/>
        <rFont val="WenQuanYi Zen Hei"/>
        <family val="2"/>
      </rPr>
      <t xml:space="preserve">〜</t>
    </r>
    <r>
      <rPr>
        <sz val="9"/>
        <color rgb="FF000000"/>
        <rFont val="Meiryo"/>
        <family val="0"/>
        <charset val="1"/>
      </rPr>
      <t xml:space="preserve">2</t>
    </r>
    <r>
      <rPr>
        <sz val="9"/>
        <color rgb="FF000000"/>
        <rFont val="WenQuanYi Zen Hei"/>
        <family val="2"/>
      </rPr>
      <t xml:space="preserve">倍の開きが生じ得る。品質点あたりコストの差はこれが主因と推定</t>
    </r>
  </si>
  <si>
    <t xml:space="preserve">値引き</t>
  </si>
  <si>
    <r>
      <rPr>
        <sz val="9"/>
        <color rgb="FF000000"/>
        <rFont val="Meiryo"/>
        <family val="0"/>
        <charset val="1"/>
      </rPr>
      <t xml:space="preserve">▲1,120</t>
    </r>
    <r>
      <rPr>
        <sz val="9"/>
        <color rgb="FF000000"/>
        <rFont val="WenQuanYi Zen Hei"/>
        <family val="2"/>
      </rPr>
      <t xml:space="preserve">万円（</t>
    </r>
    <r>
      <rPr>
        <sz val="9"/>
        <color rgb="FF000000"/>
        <rFont val="Meiryo"/>
        <family val="0"/>
        <charset val="1"/>
      </rPr>
      <t xml:space="preserve">32%</t>
    </r>
    <r>
      <rPr>
        <sz val="9"/>
        <color rgb="FF000000"/>
        <rFont val="WenQuanYi Zen Hei"/>
        <family val="2"/>
      </rPr>
      <t xml:space="preserve">：初回値引＋出精値引）</t>
    </r>
  </si>
  <si>
    <t xml:space="preserve">なし</t>
  </si>
  <si>
    <r>
      <rPr>
        <sz val="9"/>
        <color rgb="FF000000"/>
        <rFont val="Meiryo"/>
        <family val="0"/>
        <charset val="1"/>
      </rPr>
      <t xml:space="preserve">A</t>
    </r>
    <r>
      <rPr>
        <sz val="9"/>
        <color rgb="FF000000"/>
        <rFont val="WenQuanYi Zen Hei"/>
        <family val="2"/>
      </rPr>
      <t xml:space="preserve">社の安さの一部は戦略価格。次フェーズ単価の確認が必要</t>
    </r>
  </si>
  <si>
    <r>
      <rPr>
        <b val="true"/>
        <sz val="11"/>
        <color rgb="FF000000"/>
        <rFont val="WenQuanYi Zen Hei"/>
        <family val="2"/>
      </rPr>
      <t xml:space="preserve">【金額差の構造（要約）｟</t>
    </r>
    <r>
      <rPr>
        <b val="true"/>
        <sz val="11"/>
        <color rgb="FF000000"/>
        <rFont val="Meiryo"/>
        <family val="0"/>
        <charset val="1"/>
      </rPr>
      <t xml:space="preserve">v1.1</t>
    </r>
    <r>
      <rPr>
        <b val="true"/>
        <sz val="11"/>
        <color rgb="FF000000"/>
        <rFont val="WenQuanYi Zen Hei"/>
        <family val="2"/>
      </rPr>
      <t xml:space="preserve">反映版｠】</t>
    </r>
  </si>
  <si>
    <r>
      <rPr>
        <sz val="9"/>
        <color rgb="FF000000"/>
        <rFont val="WenQuanYi Zen Hei"/>
        <family val="2"/>
      </rPr>
      <t xml:space="preserve">【スコープ差の確認結果（①の表）】アビームの基本スコープは、ライズに対しては明確に広い・深い（独立したデータ要件定義書、</t>
    </r>
    <r>
      <rPr>
        <sz val="9"/>
        <color rgb="FF000000"/>
        <rFont val="Meiryo"/>
        <family val="0"/>
        <charset val="1"/>
      </rPr>
      <t xml:space="preserve">2</t>
    </r>
    <r>
      <rPr>
        <sz val="9"/>
        <color rgb="FF000000"/>
        <rFont val="WenQuanYi Zen Hei"/>
        <family val="2"/>
      </rPr>
      <t xml:space="preserve">段階アーキテクチャ、ユースケース優先順位付け、システム化方針の移行</t>
    </r>
    <r>
      <rPr>
        <sz val="9"/>
        <color rgb="FF000000"/>
        <rFont val="Meiryo"/>
        <family val="0"/>
        <charset val="1"/>
      </rPr>
      <t xml:space="preserve">/</t>
    </r>
    <r>
      <rPr>
        <sz val="9"/>
        <color rgb="FF000000"/>
        <rFont val="WenQuanYi Zen Hei"/>
        <family val="2"/>
      </rPr>
      <t xml:space="preserve">テスト</t>
    </r>
    <r>
      <rPr>
        <sz val="9"/>
        <color rgb="FF000000"/>
        <rFont val="Meiryo"/>
        <family val="0"/>
        <charset val="1"/>
      </rPr>
      <t xml:space="preserve">/</t>
    </r>
    <r>
      <rPr>
        <sz val="9"/>
        <color rgb="FF000000"/>
        <rFont val="WenQuanYi Zen Hei"/>
        <family val="2"/>
      </rPr>
      <t xml:space="preserve">教育）。一方</t>
    </r>
    <r>
      <rPr>
        <sz val="9"/>
        <color rgb="FF000000"/>
        <rFont val="Meiryo"/>
        <family val="0"/>
        <charset val="1"/>
      </rPr>
      <t xml:space="preserve">PwC(</t>
    </r>
    <r>
      <rPr>
        <sz val="9"/>
        <color rgb="FF000000"/>
        <rFont val="WenQuanYi Zen Hei"/>
        <family val="2"/>
      </rPr>
      <t xml:space="preserve">案②</t>
    </r>
    <r>
      <rPr>
        <sz val="9"/>
        <color rgb="FF000000"/>
        <rFont val="Meiryo"/>
        <family val="0"/>
        <charset val="1"/>
      </rPr>
      <t xml:space="preserve">27M)</t>
    </r>
    <r>
      <rPr>
        <sz val="9"/>
        <color rgb="FF000000"/>
        <rFont val="WenQuanYi Zen Hei"/>
        <family val="2"/>
      </rPr>
      <t xml:space="preserve">に対しては、開示効率化検討・展開計画・定着計画・</t>
    </r>
    <r>
      <rPr>
        <sz val="9"/>
        <color rgb="FF000000"/>
        <rFont val="Meiryo"/>
        <family val="0"/>
        <charset val="1"/>
      </rPr>
      <t xml:space="preserve">PJ</t>
    </r>
    <r>
      <rPr>
        <sz val="9"/>
        <color rgb="FF000000"/>
        <rFont val="WenQuanYi Zen Hei"/>
        <family val="2"/>
      </rPr>
      <t xml:space="preserve">計画書という、</t>
    </r>
    <r>
      <rPr>
        <sz val="9"/>
        <color rgb="FF000000"/>
        <rFont val="Meiryo"/>
        <family val="0"/>
        <charset val="1"/>
      </rPr>
      <t xml:space="preserve">PwC</t>
    </r>
    <r>
      <rPr>
        <sz val="9"/>
        <color rgb="FF000000"/>
        <rFont val="WenQuanYi Zen Hei"/>
        <family val="2"/>
      </rPr>
      <t xml:space="preserve">の</t>
    </r>
    <r>
      <rPr>
        <sz val="9"/>
        <color rgb="FF000000"/>
        <rFont val="Meiryo"/>
        <family val="0"/>
        <charset val="1"/>
      </rPr>
      <t xml:space="preserve">27,000,000</t>
    </r>
    <r>
      <rPr>
        <sz val="9"/>
        <color rgb="FF000000"/>
        <rFont val="WenQuanYi Zen Hei"/>
        <family val="2"/>
      </rPr>
      <t xml:space="preserve">円には含まれる成果物が、アビームの</t>
    </r>
    <r>
      <rPr>
        <sz val="9"/>
        <color rgb="FF000000"/>
        <rFont val="Meiryo"/>
        <family val="0"/>
        <charset val="1"/>
      </rPr>
      <t xml:space="preserve">53,000,000</t>
    </r>
    <r>
      <rPr>
        <sz val="9"/>
        <color rgb="FF000000"/>
        <rFont val="WenQuanYi Zen Hei"/>
        <family val="2"/>
      </rPr>
      <t xml:space="preserve">円の基本スコープには</t>
    </r>
    <r>
      <rPr>
        <sz val="9"/>
        <color rgb="FF000000"/>
        <rFont val="Meiryo"/>
        <family val="0"/>
        <charset val="1"/>
      </rPr>
      <t xml:space="preserve">Option B</t>
    </r>
    <r>
      <rPr>
        <sz val="9"/>
        <color rgb="FF000000"/>
        <rFont val="WenQuanYi Zen Hei"/>
        <family val="2"/>
      </rPr>
      <t xml:space="preserve">に追い出されており含まれない。つまりスコープ差は双方向にズレており、「アビームは範囲が広いから高い」という単純な説明は成立しない（対</t>
    </r>
    <r>
      <rPr>
        <sz val="9"/>
        <color rgb="FF000000"/>
        <rFont val="Meiryo"/>
        <family val="0"/>
        <charset val="1"/>
      </rPr>
      <t xml:space="preserve">PwC</t>
    </r>
    <r>
      <rPr>
        <sz val="9"/>
        <color rgb="FF000000"/>
        <rFont val="WenQuanYi Zen Hei"/>
        <family val="2"/>
      </rPr>
      <t xml:space="preserve">では範囲が狭いのに高い）。</t>
    </r>
  </si>
  <si>
    <r>
      <rPr>
        <sz val="9"/>
        <color rgb="FF000000"/>
        <rFont val="WenQuanYi Zen Hei"/>
        <family val="2"/>
      </rPr>
      <t xml:space="preserve">【前提の更新】</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で「基本スコープ</t>
    </r>
    <r>
      <rPr>
        <sz val="9"/>
        <color rgb="FF000000"/>
        <rFont val="Meiryo"/>
        <family val="0"/>
        <charset val="1"/>
      </rPr>
      <t xml:space="preserve">5,300</t>
    </r>
    <r>
      <rPr>
        <sz val="9"/>
        <color rgb="FF000000"/>
        <rFont val="WenQuanYi Zen Hei"/>
        <family val="2"/>
      </rPr>
      <t xml:space="preserve">万円＋オプション</t>
    </r>
    <r>
      <rPr>
        <sz val="9"/>
        <color rgb="FF000000"/>
        <rFont val="Meiryo"/>
        <family val="0"/>
        <charset val="1"/>
      </rPr>
      <t xml:space="preserve">A(</t>
    </r>
    <r>
      <rPr>
        <sz val="9"/>
        <color rgb="FF000000"/>
        <rFont val="WenQuanYi Zen Hei"/>
        <family val="2"/>
      </rPr>
      <t xml:space="preserve">ベンダー評価</t>
    </r>
    <r>
      <rPr>
        <sz val="9"/>
        <color rgb="FF000000"/>
        <rFont val="Meiryo"/>
        <family val="0"/>
        <charset val="1"/>
      </rPr>
      <t xml:space="preserve">)300</t>
    </r>
    <r>
      <rPr>
        <sz val="9"/>
        <color rgb="FF000000"/>
        <rFont val="WenQuanYi Zen Hei"/>
        <family val="2"/>
      </rPr>
      <t xml:space="preserve">万円＋オプション</t>
    </r>
    <r>
      <rPr>
        <sz val="9"/>
        <color rgb="FF000000"/>
        <rFont val="Meiryo"/>
        <family val="0"/>
        <charset val="1"/>
      </rPr>
      <t xml:space="preserve">B(</t>
    </r>
    <r>
      <rPr>
        <sz val="9"/>
        <color rgb="FF000000"/>
        <rFont val="WenQuanYi Zen Hei"/>
        <family val="2"/>
      </rPr>
      <t xml:space="preserve">非システム課題・効果試算</t>
    </r>
    <r>
      <rPr>
        <sz val="9"/>
        <color rgb="FF000000"/>
        <rFont val="Meiryo"/>
        <family val="0"/>
        <charset val="1"/>
      </rPr>
      <t xml:space="preserve">)2,200</t>
    </r>
    <r>
      <rPr>
        <sz val="9"/>
        <color rgb="FF000000"/>
        <rFont val="WenQuanYi Zen Hei"/>
        <family val="2"/>
      </rPr>
      <t xml:space="preserve">万円」に価格分離。オプションを除いた基本スコープ単体でも</t>
    </r>
    <r>
      <rPr>
        <sz val="9"/>
        <color rgb="FF000000"/>
        <rFont val="Meiryo"/>
        <family val="0"/>
        <charset val="1"/>
      </rPr>
      <t xml:space="preserve">Rise</t>
    </r>
    <r>
      <rPr>
        <sz val="9"/>
        <color rgb="FF000000"/>
        <rFont val="WenQuanYi Zen Hei"/>
        <family val="2"/>
      </rPr>
      <t xml:space="preserve">比</t>
    </r>
    <r>
      <rPr>
        <sz val="9"/>
        <color rgb="FF000000"/>
        <rFont val="Meiryo"/>
        <family val="0"/>
        <charset val="1"/>
      </rPr>
      <t xml:space="preserve">2.2</t>
    </r>
    <r>
      <rPr>
        <sz val="9"/>
        <color rgb="FF000000"/>
        <rFont val="WenQuanYi Zen Hei"/>
        <family val="2"/>
      </rPr>
      <t xml:space="preserve">倍・</t>
    </r>
    <r>
      <rPr>
        <sz val="9"/>
        <color rgb="FF000000"/>
        <rFont val="Meiryo"/>
        <family val="0"/>
        <charset val="1"/>
      </rPr>
      <t xml:space="preserve">PwC</t>
    </r>
    <r>
      <rPr>
        <sz val="9"/>
        <color rgb="FF000000"/>
        <rFont val="WenQuanYi Zen Hei"/>
        <family val="2"/>
      </rPr>
      <t xml:space="preserve">案②比</t>
    </r>
    <r>
      <rPr>
        <sz val="9"/>
        <color rgb="FF000000"/>
        <rFont val="Meiryo"/>
        <family val="0"/>
        <charset val="1"/>
      </rPr>
      <t xml:space="preserve">1.96</t>
    </r>
    <r>
      <rPr>
        <sz val="9"/>
        <color rgb="FF000000"/>
        <rFont val="WenQuanYi Zen Hei"/>
        <family val="2"/>
      </rPr>
      <t xml:space="preserve">倍であり、残る差の主因は体制の厚み（</t>
    </r>
    <r>
      <rPr>
        <sz val="9"/>
        <color rgb="FF000000"/>
        <rFont val="Meiryo"/>
        <family val="0"/>
        <charset val="1"/>
      </rPr>
      <t xml:space="preserve">P/D/SM</t>
    </r>
    <r>
      <rPr>
        <sz val="9"/>
        <color rgb="FF000000"/>
        <rFont val="WenQuanYi Zen Hei"/>
        <family val="2"/>
      </rPr>
      <t xml:space="preserve">級アドバイザー</t>
    </r>
    <r>
      <rPr>
        <sz val="9"/>
        <color rgb="FF000000"/>
        <rFont val="Meiryo"/>
        <family val="0"/>
        <charset val="1"/>
      </rPr>
      <t xml:space="preserve">4</t>
    </r>
    <r>
      <rPr>
        <sz val="9"/>
        <color rgb="FF000000"/>
        <rFont val="WenQuanYi Zen Hei"/>
        <family val="2"/>
      </rPr>
      <t xml:space="preserve">名＋公認会計士を基本スコープにも配置）とファーム単価水準（大手総合＞中堅独立系・</t>
    </r>
    <r>
      <rPr>
        <sz val="9"/>
        <color rgb="FF000000"/>
        <rFont val="Meiryo"/>
        <family val="0"/>
        <charset val="1"/>
      </rPr>
      <t xml:space="preserve">Big4</t>
    </r>
    <r>
      <rPr>
        <sz val="9"/>
        <color rgb="FF000000"/>
        <rFont val="WenQuanYi Zen Hei"/>
        <family val="2"/>
      </rPr>
      <t xml:space="preserve">）に集約される。期間差（</t>
    </r>
    <r>
      <rPr>
        <sz val="9"/>
        <color rgb="FF000000"/>
        <rFont val="Meiryo"/>
        <family val="0"/>
        <charset val="1"/>
      </rPr>
      <t xml:space="preserve">3.9</t>
    </r>
    <r>
      <rPr>
        <sz val="9"/>
        <color rgb="FF000000"/>
        <rFont val="WenQuanYi Zen Hei"/>
        <family val="2"/>
      </rPr>
      <t xml:space="preserve">ヶ月</t>
    </r>
    <r>
      <rPr>
        <sz val="9"/>
        <color rgb="FF000000"/>
        <rFont val="Meiryo"/>
        <family val="0"/>
        <charset val="1"/>
      </rPr>
      <t xml:space="preserve">vs3.0</t>
    </r>
    <r>
      <rPr>
        <sz val="9"/>
        <color rgb="FF000000"/>
        <rFont val="WenQuanYi Zen Hei"/>
        <family val="2"/>
      </rPr>
      <t xml:space="preserve">〜</t>
    </r>
    <r>
      <rPr>
        <sz val="9"/>
        <color rgb="FF000000"/>
        <rFont val="Meiryo"/>
        <family val="0"/>
        <charset val="1"/>
      </rPr>
      <t xml:space="preserve">3.6</t>
    </r>
    <r>
      <rPr>
        <sz val="9"/>
        <color rgb="FF000000"/>
        <rFont val="WenQuanYi Zen Hei"/>
        <family val="2"/>
      </rPr>
      <t xml:space="preserve">ヶ月）は月額換算後も約</t>
    </r>
    <r>
      <rPr>
        <sz val="9"/>
        <color rgb="FF000000"/>
        <rFont val="Meiryo"/>
        <family val="0"/>
        <charset val="1"/>
      </rPr>
      <t xml:space="preserve">1.5</t>
    </r>
    <r>
      <rPr>
        <sz val="9"/>
        <color rgb="FF000000"/>
        <rFont val="WenQuanYi Zen Hei"/>
        <family val="2"/>
      </rPr>
      <t xml:space="preserve">〜</t>
    </r>
    <r>
      <rPr>
        <sz val="9"/>
        <color rgb="FF000000"/>
        <rFont val="Meiryo"/>
        <family val="0"/>
        <charset val="1"/>
      </rPr>
      <t xml:space="preserve">1.8</t>
    </r>
    <r>
      <rPr>
        <sz val="9"/>
        <color rgb="FF000000"/>
        <rFont val="WenQuanYi Zen Hei"/>
        <family val="2"/>
      </rPr>
      <t xml:space="preserve">倍の差が残り、単純な期間長さでは説明できない。</t>
    </r>
  </si>
  <si>
    <r>
      <rPr>
        <sz val="9"/>
        <color rgb="FF000000"/>
        <rFont val="WenQuanYi Zen Hei"/>
        <family val="2"/>
      </rPr>
      <t xml:space="preserve">【品質を勘案した検証】品質点あたりコスト（見積額</t>
    </r>
    <r>
      <rPr>
        <sz val="9"/>
        <color rgb="FF000000"/>
        <rFont val="Meiryo"/>
        <family val="0"/>
        <charset val="1"/>
      </rPr>
      <t xml:space="preserve">÷Q</t>
    </r>
    <r>
      <rPr>
        <sz val="9"/>
        <color rgb="FF000000"/>
        <rFont val="WenQuanYi Zen Hei"/>
        <family val="2"/>
      </rPr>
      <t xml:space="preserve">得点、スコープ差込みの粗い指標）で見ると、</t>
    </r>
    <r>
      <rPr>
        <sz val="9"/>
        <color rgb="FF000000"/>
        <rFont val="Meiryo"/>
        <family val="0"/>
        <charset val="1"/>
      </rPr>
      <t xml:space="preserve">Rise 82.2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PwC</t>
    </r>
    <r>
      <rPr>
        <sz val="9"/>
        <color rgb="FF000000"/>
        <rFont val="WenQuanYi Zen Hei"/>
        <family val="2"/>
      </rPr>
      <t xml:space="preserve">案② </t>
    </r>
    <r>
      <rPr>
        <sz val="9"/>
        <color rgb="FF000000"/>
        <rFont val="Meiryo"/>
        <family val="0"/>
        <charset val="1"/>
      </rPr>
      <t xml:space="preserve">74.2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C</t>
    </r>
    <r>
      <rPr>
        <sz val="9"/>
        <color rgb="FF000000"/>
        <rFont val="WenQuanYi Zen Hei"/>
        <family val="2"/>
      </rPr>
      <t xml:space="preserve">社</t>
    </r>
    <r>
      <rPr>
        <sz val="9"/>
        <color rgb="FF000000"/>
        <rFont val="Meiryo"/>
        <family val="0"/>
        <charset val="1"/>
      </rPr>
      <t xml:space="preserve">(</t>
    </r>
    <r>
      <rPr>
        <sz val="9"/>
        <color rgb="FF000000"/>
        <rFont val="WenQuanYi Zen Hei"/>
        <family val="2"/>
      </rPr>
      <t xml:space="preserve">基本のみ</t>
    </r>
    <r>
      <rPr>
        <sz val="9"/>
        <color rgb="FF000000"/>
        <rFont val="Meiryo"/>
        <family val="0"/>
        <charset val="1"/>
      </rPr>
      <t xml:space="preserve">) 113.2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C</t>
    </r>
    <r>
      <rPr>
        <sz val="9"/>
        <color rgb="FF000000"/>
        <rFont val="WenQuanYi Zen Hei"/>
        <family val="2"/>
      </rPr>
      <t xml:space="preserve">社は品質が</t>
    </r>
    <r>
      <rPr>
        <sz val="9"/>
        <color rgb="FF000000"/>
        <rFont val="Meiryo"/>
        <family val="0"/>
        <charset val="1"/>
      </rPr>
      <t xml:space="preserve">3</t>
    </r>
    <r>
      <rPr>
        <sz val="9"/>
        <color rgb="FF000000"/>
        <rFont val="WenQuanYi Zen Hei"/>
        <family val="2"/>
      </rPr>
      <t xml:space="preserve">社中最高（</t>
    </r>
    <r>
      <rPr>
        <sz val="9"/>
        <color rgb="FF000000"/>
        <rFont val="Meiryo"/>
        <family val="0"/>
        <charset val="1"/>
      </rPr>
      <t xml:space="preserve">46.8</t>
    </r>
    <r>
      <rPr>
        <sz val="9"/>
        <color rgb="FF000000"/>
        <rFont val="WenQuanYi Zen Hei"/>
        <family val="2"/>
      </rPr>
      <t xml:space="preserve">点）だが、品質差・スコープ差の両方を勘案してもなお最も割高（</t>
    </r>
    <r>
      <rPr>
        <sz val="9"/>
        <color rgb="FF000000"/>
        <rFont val="Meiryo"/>
        <family val="0"/>
        <charset val="1"/>
      </rPr>
      <t xml:space="preserve">PwC</t>
    </r>
    <r>
      <rPr>
        <sz val="9"/>
        <color rgb="FF000000"/>
        <rFont val="WenQuanYi Zen Hei"/>
        <family val="2"/>
      </rPr>
      <t xml:space="preserve">案②比約</t>
    </r>
    <r>
      <rPr>
        <sz val="9"/>
        <color rgb="FF000000"/>
        <rFont val="Meiryo"/>
        <family val="0"/>
        <charset val="1"/>
      </rPr>
      <t xml:space="preserve">1.5</t>
    </r>
    <r>
      <rPr>
        <sz val="9"/>
        <color rgb="FF000000"/>
        <rFont val="WenQuanYi Zen Hei"/>
        <family val="2"/>
      </rPr>
      <t xml:space="preserve">倍）。つまり「品質が高いから高い」という説明は方向としては正しいが、価格差の全てを説明するものではなく、品質・スコープを上回る超過コストが体制の厚み・単価水準に起因して残っている。</t>
    </r>
  </si>
  <si>
    <r>
      <rPr>
        <sz val="9"/>
        <color rgb="FF000000"/>
        <rFont val="WenQuanYi Zen Hei"/>
        <family val="2"/>
      </rPr>
      <t xml:space="preserve">【</t>
    </r>
    <r>
      <rPr>
        <sz val="9"/>
        <color rgb="FF000000"/>
        <rFont val="Meiryo"/>
        <family val="0"/>
        <charset val="1"/>
      </rPr>
      <t xml:space="preserve">Q3/Q4</t>
    </r>
    <r>
      <rPr>
        <sz val="9"/>
        <color rgb="FF000000"/>
        <rFont val="WenQuanYi Zen Hei"/>
        <family val="2"/>
      </rPr>
      <t xml:space="preserve">への影響】</t>
    </r>
    <r>
      <rPr>
        <sz val="9"/>
        <color rgb="FF000000"/>
        <rFont val="Meiryo"/>
        <family val="0"/>
        <charset val="1"/>
      </rPr>
      <t xml:space="preserve">v1.1</t>
    </r>
    <r>
      <rPr>
        <sz val="9"/>
        <color rgb="FF000000"/>
        <rFont val="WenQuanYi Zen Hei"/>
        <family val="2"/>
      </rPr>
      <t xml:space="preserve">でも</t>
    </r>
    <r>
      <rPr>
        <sz val="9"/>
        <color rgb="FF000000"/>
        <rFont val="Meiryo"/>
        <family val="0"/>
        <charset val="1"/>
      </rPr>
      <t xml:space="preserve">#12</t>
    </r>
    <r>
      <rPr>
        <sz val="9"/>
        <color rgb="FF000000"/>
        <rFont val="WenQuanYi Zen Hei"/>
        <family val="2"/>
      </rPr>
      <t xml:space="preserve">のうち証憑・承認等の統制要件のシステム要件化に必要な事前協議は基本スコープに残置され、出口設計（</t>
    </r>
    <r>
      <rPr>
        <sz val="9"/>
        <color rgb="FF000000"/>
        <rFont val="Meiryo"/>
        <family val="0"/>
        <charset val="1"/>
      </rPr>
      <t xml:space="preserve">#2</t>
    </r>
    <r>
      <rPr>
        <sz val="9"/>
        <color rgb="FF000000"/>
        <rFont val="WenQuanYi Zen Hei"/>
        <family val="2"/>
      </rPr>
      <t xml:space="preserve">）のユースケース優先度評価も基本スコープ内。守り・攻めいずれの品質評価根拠も基本スコープに残るため、オプション化後も</t>
    </r>
    <r>
      <rPr>
        <sz val="9"/>
        <color rgb="FF000000"/>
        <rFont val="Meiryo"/>
        <family val="0"/>
        <charset val="1"/>
      </rPr>
      <t xml:space="preserve">Q3</t>
    </r>
    <r>
      <rPr>
        <sz val="9"/>
        <color rgb="FF000000"/>
        <rFont val="WenQuanYi Zen Hei"/>
        <family val="2"/>
      </rPr>
      <t xml:space="preserve">・</t>
    </r>
    <r>
      <rPr>
        <sz val="9"/>
        <color rgb="FF000000"/>
        <rFont val="Meiryo"/>
        <family val="0"/>
        <charset val="1"/>
      </rPr>
      <t xml:space="preserve">Q4</t>
    </r>
    <r>
      <rPr>
        <sz val="9"/>
        <color rgb="FF000000"/>
        <rFont val="WenQuanYi Zen Hei"/>
        <family val="2"/>
      </rPr>
      <t xml:space="preserve">の素点は変更しない。</t>
    </r>
  </si>
  <si>
    <r>
      <rPr>
        <b val="true"/>
        <sz val="11"/>
        <color rgb="FF000000"/>
        <rFont val="WenQuanYi Zen Hei"/>
        <family val="2"/>
      </rPr>
      <t xml:space="preserve">【</t>
    </r>
    <r>
      <rPr>
        <b val="true"/>
        <sz val="11"/>
        <color rgb="FF000000"/>
        <rFont val="Meiryo"/>
        <family val="0"/>
        <charset val="1"/>
      </rPr>
      <t xml:space="preserve">Apple to Apple</t>
    </r>
    <r>
      <rPr>
        <b val="true"/>
        <sz val="11"/>
        <color rgb="FF000000"/>
        <rFont val="WenQuanYi Zen Hei"/>
        <family val="2"/>
      </rPr>
      <t xml:space="preserve">化のための</t>
    </r>
    <r>
      <rPr>
        <b val="true"/>
        <sz val="11"/>
        <color rgb="FF000000"/>
        <rFont val="Meiryo"/>
        <family val="0"/>
        <charset val="1"/>
      </rPr>
      <t xml:space="preserve">5</t>
    </r>
    <r>
      <rPr>
        <b val="true"/>
        <sz val="11"/>
        <color rgb="FF000000"/>
        <rFont val="WenQuanYi Zen Hei"/>
        <family val="2"/>
      </rPr>
      <t xml:space="preserve">つのアクション（質疑・再見積り依頼時）】</t>
    </r>
  </si>
  <si>
    <r>
      <rPr>
        <b val="true"/>
        <sz val="9"/>
        <color rgb="FF000000"/>
        <rFont val="WenQuanYi Zen Hei"/>
        <family val="2"/>
      </rPr>
      <t xml:space="preserve">① 基準スコープの固定〔</t>
    </r>
    <r>
      <rPr>
        <b val="true"/>
        <sz val="9"/>
        <color rgb="FF000000"/>
        <rFont val="Meiryo"/>
        <family val="0"/>
        <charset val="1"/>
      </rPr>
      <t xml:space="preserve">C</t>
    </r>
    <r>
      <rPr>
        <b val="true"/>
        <sz val="9"/>
        <color rgb="FF000000"/>
        <rFont val="WenQuanYi Zen Hei"/>
        <family val="2"/>
      </rPr>
      <t xml:space="preserve">社は一部対応済み〕</t>
    </r>
  </si>
  <si>
    <r>
      <rPr>
        <sz val="9"/>
        <color rgb="FF000000"/>
        <rFont val="WenQuanYi Zen Hei"/>
        <family val="2"/>
      </rPr>
      <t xml:space="preserve">「</t>
    </r>
    <r>
      <rPr>
        <sz val="9"/>
        <color rgb="FF000000"/>
        <rFont val="Meiryo"/>
        <family val="0"/>
        <charset val="1"/>
      </rPr>
      <t xml:space="preserve">9</t>
    </r>
    <r>
      <rPr>
        <sz val="9"/>
        <color rgb="FF000000"/>
        <rFont val="WenQuanYi Zen Hei"/>
        <family val="2"/>
      </rPr>
      <t xml:space="preserve">〜</t>
    </r>
    <r>
      <rPr>
        <sz val="9"/>
        <color rgb="FF000000"/>
        <rFont val="Meiryo"/>
        <family val="0"/>
        <charset val="1"/>
      </rPr>
      <t xml:space="preserve">11</t>
    </r>
    <r>
      <rPr>
        <sz val="9"/>
        <color rgb="FF000000"/>
        <rFont val="WenQuanYi Zen Hei"/>
        <family val="2"/>
      </rPr>
      <t xml:space="preserve">月・貴社想定成果物</t>
    </r>
    <r>
      <rPr>
        <sz val="9"/>
        <color rgb="FF000000"/>
        <rFont val="Meiryo"/>
        <family val="0"/>
        <charset val="1"/>
      </rPr>
      <t xml:space="preserve">10</t>
    </r>
    <r>
      <rPr>
        <sz val="9"/>
        <color rgb="FF000000"/>
        <rFont val="WenQuanYi Zen Hei"/>
        <family val="2"/>
      </rPr>
      <t xml:space="preserve">点・</t>
    </r>
    <r>
      <rPr>
        <sz val="9"/>
        <color rgb="FF000000"/>
        <rFont val="Meiryo"/>
        <family val="0"/>
        <charset val="1"/>
      </rPr>
      <t xml:space="preserve">11</t>
    </r>
    <r>
      <rPr>
        <sz val="9"/>
        <color rgb="FF000000"/>
        <rFont val="WenQuanYi Zen Hei"/>
        <family val="2"/>
      </rPr>
      <t xml:space="preserve">月末</t>
    </r>
    <r>
      <rPr>
        <sz val="9"/>
        <color rgb="FF000000"/>
        <rFont val="Meiryo"/>
        <family val="0"/>
        <charset val="1"/>
      </rPr>
      <t xml:space="preserve">RFP</t>
    </r>
    <r>
      <rPr>
        <sz val="9"/>
        <color rgb="FF000000"/>
        <rFont val="WenQuanYi Zen Hei"/>
        <family val="2"/>
      </rPr>
      <t xml:space="preserve">発行可能状態」を基準スコープと定義し、</t>
    </r>
    <r>
      <rPr>
        <sz val="9"/>
        <color rgb="FF000000"/>
        <rFont val="Meiryo"/>
        <family val="0"/>
        <charset val="1"/>
      </rPr>
      <t xml:space="preserve">(a)</t>
    </r>
    <r>
      <rPr>
        <sz val="9"/>
        <color rgb="FF000000"/>
        <rFont val="WenQuanYi Zen Hei"/>
        <family val="2"/>
      </rPr>
      <t xml:space="preserve">基準スコープの金額と</t>
    </r>
    <r>
      <rPr>
        <sz val="9"/>
        <color rgb="FF000000"/>
        <rFont val="Meiryo"/>
        <family val="0"/>
        <charset val="1"/>
      </rPr>
      <t xml:space="preserve">(b)</t>
    </r>
    <r>
      <rPr>
        <sz val="9"/>
        <color rgb="FF000000"/>
        <rFont val="WenQuanYi Zen Hei"/>
        <family val="2"/>
      </rPr>
      <t xml:space="preserve">オプション（ベンダー評価支援／非システム課題整理／効果試算／展開・定着計画／アーキテクチャ素案）を分離した再見積りを</t>
    </r>
    <r>
      <rPr>
        <sz val="9"/>
        <color rgb="FF000000"/>
        <rFont val="Meiryo"/>
        <family val="0"/>
        <charset val="1"/>
      </rPr>
      <t xml:space="preserve">3</t>
    </r>
    <r>
      <rPr>
        <sz val="9"/>
        <color rgb="FF000000"/>
        <rFont val="WenQuanYi Zen Hei"/>
        <family val="2"/>
      </rPr>
      <t xml:space="preserve">社に要求する。</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で基本スコープ</t>
    </r>
    <r>
      <rPr>
        <sz val="9"/>
        <color rgb="FF000000"/>
        <rFont val="Meiryo"/>
        <family val="0"/>
        <charset val="1"/>
      </rPr>
      <t xml:space="preserve">(5,300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とオプション</t>
    </r>
    <r>
      <rPr>
        <sz val="9"/>
        <color rgb="FF000000"/>
        <rFont val="Meiryo"/>
        <family val="0"/>
        <charset val="1"/>
      </rPr>
      <t xml:space="preserve">A/B</t>
    </r>
    <r>
      <rPr>
        <sz val="9"/>
        <color rgb="FF000000"/>
        <rFont val="WenQuanYi Zen Hei"/>
        <family val="2"/>
      </rPr>
      <t xml:space="preserve">を既に分離済み——ただし基本スコープ自体が他社の</t>
    </r>
    <r>
      <rPr>
        <sz val="9"/>
        <color rgb="FF000000"/>
        <rFont val="Meiryo"/>
        <family val="0"/>
        <charset val="1"/>
      </rPr>
      <t xml:space="preserve">1.6</t>
    </r>
    <r>
      <rPr>
        <sz val="9"/>
        <color rgb="FF000000"/>
        <rFont val="WenQuanYi Zen Hei"/>
        <family val="2"/>
      </rPr>
      <t xml:space="preserve">〜</t>
    </r>
    <r>
      <rPr>
        <sz val="9"/>
        <color rgb="FF000000"/>
        <rFont val="Meiryo"/>
        <family val="0"/>
        <charset val="1"/>
      </rPr>
      <t xml:space="preserve">2.2</t>
    </r>
    <r>
      <rPr>
        <sz val="9"/>
        <color rgb="FF000000"/>
        <rFont val="WenQuanYi Zen Hei"/>
        <family val="2"/>
      </rPr>
      <t xml:space="preserve">倍のままであり、①分離では解決せず、②の単価内訳開示が必須。</t>
    </r>
    <r>
      <rPr>
        <sz val="9"/>
        <color rgb="FF000000"/>
        <rFont val="Meiryo"/>
        <family val="0"/>
        <charset val="1"/>
      </rPr>
      <t xml:space="preserve">B</t>
    </r>
    <r>
      <rPr>
        <sz val="9"/>
        <color rgb="FF000000"/>
        <rFont val="WenQuanYi Zen Hei"/>
        <family val="2"/>
      </rPr>
      <t xml:space="preserve">社には案②ベースで</t>
    </r>
    <r>
      <rPr>
        <sz val="9"/>
        <color rgb="FF000000"/>
        <rFont val="Meiryo"/>
        <family val="0"/>
        <charset val="1"/>
      </rPr>
      <t xml:space="preserve">11</t>
    </r>
    <r>
      <rPr>
        <sz val="9"/>
        <color rgb="FF000000"/>
        <rFont val="WenQuanYi Zen Hei"/>
        <family val="2"/>
      </rPr>
      <t xml:space="preserve">月末前倒し時の金額、</t>
    </r>
    <r>
      <rPr>
        <sz val="9"/>
        <color rgb="FF000000"/>
        <rFont val="Meiryo"/>
        <family val="0"/>
        <charset val="1"/>
      </rPr>
      <t xml:space="preserve">A</t>
    </r>
    <r>
      <rPr>
        <sz val="9"/>
        <color rgb="FF000000"/>
        <rFont val="WenQuanYi Zen Hei"/>
        <family val="2"/>
      </rPr>
      <t xml:space="preserve">社には成果物</t>
    </r>
    <r>
      <rPr>
        <sz val="9"/>
        <color rgb="FF000000"/>
        <rFont val="Meiryo"/>
        <family val="0"/>
        <charset val="1"/>
      </rPr>
      <t xml:space="preserve">10</t>
    </r>
    <r>
      <rPr>
        <sz val="9"/>
        <color rgb="FF000000"/>
        <rFont val="WenQuanYi Zen Hei"/>
        <family val="2"/>
      </rPr>
      <t xml:space="preserve">点との対応表と不足分（海外拠点拡張ロードマップ等）込みの金額を求める。</t>
    </r>
  </si>
  <si>
    <t xml:space="preserve">② 工数・単価の統一フォーマット〔最優先〕</t>
  </si>
  <si>
    <r>
      <rPr>
        <sz val="9"/>
        <color rgb="FF000000"/>
        <rFont val="WenQuanYi Zen Hei"/>
        <family val="2"/>
      </rPr>
      <t xml:space="preserve">ランク別単価</t>
    </r>
    <r>
      <rPr>
        <sz val="9"/>
        <color rgb="FF000000"/>
        <rFont val="Meiryo"/>
        <family val="0"/>
        <charset val="1"/>
      </rPr>
      <t xml:space="preserve">×</t>
    </r>
    <r>
      <rPr>
        <sz val="9"/>
        <color rgb="FF000000"/>
        <rFont val="WenQuanYi Zen Hei"/>
        <family val="2"/>
      </rPr>
      <t xml:space="preserve">人数</t>
    </r>
    <r>
      <rPr>
        <sz val="9"/>
        <color rgb="FF000000"/>
        <rFont val="Meiryo"/>
        <family val="0"/>
        <charset val="1"/>
      </rPr>
      <t xml:space="preserve">×</t>
    </r>
    <r>
      <rPr>
        <sz val="9"/>
        <color rgb="FF000000"/>
        <rFont val="WenQuanYi Zen Hei"/>
        <family val="2"/>
      </rPr>
      <t xml:space="preserve">稼働率（</t>
    </r>
    <r>
      <rPr>
        <sz val="9"/>
        <color rgb="FF000000"/>
        <rFont val="Meiryo"/>
        <family val="0"/>
        <charset val="1"/>
      </rPr>
      <t xml:space="preserve">%</t>
    </r>
    <r>
      <rPr>
        <sz val="9"/>
        <color rgb="FF000000"/>
        <rFont val="WenQuanYi Zen Hei"/>
        <family val="2"/>
      </rPr>
      <t xml:space="preserve">）</t>
    </r>
    <r>
      <rPr>
        <sz val="9"/>
        <color rgb="FF000000"/>
        <rFont val="Meiryo"/>
        <family val="0"/>
        <charset val="1"/>
      </rPr>
      <t xml:space="preserve">×</t>
    </r>
    <r>
      <rPr>
        <sz val="9"/>
        <color rgb="FF000000"/>
        <rFont val="WenQuanYi Zen Hei"/>
        <family val="2"/>
      </rPr>
      <t xml:space="preserve">期間のマトリクスと、</t>
    </r>
    <r>
      <rPr>
        <sz val="9"/>
        <color rgb="FF000000"/>
        <rFont val="Meiryo"/>
        <family val="0"/>
        <charset val="1"/>
      </rPr>
      <t xml:space="preserve">WBS</t>
    </r>
    <r>
      <rPr>
        <sz val="9"/>
        <color rgb="FF000000"/>
        <rFont val="WenQuanYi Zen Hei"/>
        <family val="2"/>
      </rPr>
      <t xml:space="preserve">タスクとの工数対応表を統一様式で提出させる（採点項目</t>
    </r>
    <r>
      <rPr>
        <sz val="9"/>
        <color rgb="FF000000"/>
        <rFont val="Meiryo"/>
        <family val="0"/>
        <charset val="1"/>
      </rPr>
      <t xml:space="preserve">C2</t>
    </r>
    <r>
      <rPr>
        <sz val="9"/>
        <color rgb="FF000000"/>
        <rFont val="WenQuanYi Zen Hei"/>
        <family val="2"/>
      </rPr>
      <t xml:space="preserve">の確定にも直結）。</t>
    </r>
    <r>
      <rPr>
        <sz val="9"/>
        <color rgb="FF000000"/>
        <rFont val="Meiryo"/>
        <family val="0"/>
        <charset val="1"/>
      </rPr>
      <t xml:space="preserve">C</t>
    </r>
    <r>
      <rPr>
        <sz val="9"/>
        <color rgb="FF000000"/>
        <rFont val="WenQuanYi Zen Hei"/>
        <family val="2"/>
      </rPr>
      <t xml:space="preserve">社は基本スコープに絞ってもなお割高であり、原因が「単価水準」か「投入人数・稼働率」かをこの内訳でしか切り分けられない。単価が同水準なら</t>
    </r>
    <r>
      <rPr>
        <sz val="9"/>
        <color rgb="FF000000"/>
        <rFont val="Meiryo"/>
        <family val="0"/>
        <charset val="1"/>
      </rPr>
      <t xml:space="preserve">Q</t>
    </r>
    <r>
      <rPr>
        <sz val="9"/>
        <color rgb="FF000000"/>
        <rFont val="WenQuanYi Zen Hei"/>
        <family val="2"/>
      </rPr>
      <t xml:space="preserve">得点差（品質）で説明がつくが、単価そのものが高い場合は品質と無関係な割高要因として交渉対象にする。</t>
    </r>
  </si>
  <si>
    <t xml:space="preserve">③ 前提条件の統一</t>
  </si>
  <si>
    <r>
      <rPr>
        <sz val="9"/>
        <color rgb="FF000000"/>
        <rFont val="Meiryo"/>
        <family val="0"/>
        <charset val="1"/>
      </rPr>
      <t xml:space="preserve">As-Is</t>
    </r>
    <r>
      <rPr>
        <sz val="9"/>
        <color rgb="FF000000"/>
        <rFont val="WenQuanYi Zen Hei"/>
        <family val="2"/>
      </rPr>
      <t xml:space="preserve">成果物の受領範囲／海外拠点ヒアリング（</t>
    </r>
    <r>
      <rPr>
        <sz val="9"/>
        <color rgb="FF000000"/>
        <rFont val="Meiryo"/>
        <family val="0"/>
        <charset val="1"/>
      </rPr>
      <t xml:space="preserve">9</t>
    </r>
    <r>
      <rPr>
        <sz val="9"/>
        <color rgb="FF000000"/>
        <rFont val="WenQuanYi Zen Hei"/>
        <family val="2"/>
      </rPr>
      <t xml:space="preserve">月末回収）の役割分担／貴社側意思決定のリードタイム／経費の扱い（</t>
    </r>
    <r>
      <rPr>
        <sz val="9"/>
        <color rgb="FF000000"/>
        <rFont val="Meiryo"/>
        <family val="0"/>
        <charset val="1"/>
      </rPr>
      <t xml:space="preserve">3</t>
    </r>
    <r>
      <rPr>
        <sz val="9"/>
        <color rgb="FF000000"/>
        <rFont val="WenQuanYi Zen Hei"/>
        <family val="2"/>
      </rPr>
      <t xml:space="preserve">社とも実費別途→上限設定）／見積有効期限（</t>
    </r>
    <r>
      <rPr>
        <sz val="9"/>
        <color rgb="FF000000"/>
        <rFont val="Meiryo"/>
        <family val="0"/>
        <charset val="1"/>
      </rPr>
      <t xml:space="preserve">B</t>
    </r>
    <r>
      <rPr>
        <sz val="9"/>
        <color rgb="FF000000"/>
        <rFont val="WenQuanYi Zen Hei"/>
        <family val="2"/>
      </rPr>
      <t xml:space="preserve">社・</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8</t>
    </r>
    <r>
      <rPr>
        <sz val="9"/>
        <color rgb="FF000000"/>
        <rFont val="WenQuanYi Zen Hei"/>
        <family val="2"/>
      </rPr>
      <t xml:space="preserve">月末）を統一条件として明示する。</t>
    </r>
  </si>
  <si>
    <t xml:space="preserve">④ 値引きの正規化</t>
  </si>
  <si>
    <r>
      <rPr>
        <sz val="9"/>
        <color rgb="FF000000"/>
        <rFont val="Meiryo"/>
        <family val="0"/>
        <charset val="1"/>
      </rPr>
      <t xml:space="preserve">A</t>
    </r>
    <r>
      <rPr>
        <sz val="9"/>
        <color rgb="FF000000"/>
        <rFont val="WenQuanYi Zen Hei"/>
        <family val="2"/>
      </rPr>
      <t xml:space="preserve">社は定価（</t>
    </r>
    <r>
      <rPr>
        <sz val="9"/>
        <color rgb="FF000000"/>
        <rFont val="Meiryo"/>
        <family val="0"/>
        <charset val="1"/>
      </rPr>
      <t xml:space="preserve">3,520</t>
    </r>
    <r>
      <rPr>
        <sz val="9"/>
        <color rgb="FF000000"/>
        <rFont val="WenQuanYi Zen Hei"/>
        <family val="2"/>
      </rPr>
      <t xml:space="preserve">万円）ベースでも比較し、値引きの適用条件と次フェーズ以降の単価水準を確認する（採点ルール上の「極端な安値の実態確認」に該当）。</t>
    </r>
  </si>
  <si>
    <t xml:space="preserve">⑤ 体制の確定</t>
  </si>
  <si>
    <r>
      <rPr>
        <sz val="9"/>
        <color rgb="FF000000"/>
        <rFont val="WenQuanYi Zen Hei"/>
        <family val="2"/>
      </rPr>
      <t xml:space="preserve">実名・稼働率</t>
    </r>
    <r>
      <rPr>
        <sz val="9"/>
        <color rgb="FF000000"/>
        <rFont val="Meiryo"/>
        <family val="0"/>
        <charset val="1"/>
      </rPr>
      <t xml:space="preserve">%</t>
    </r>
    <r>
      <rPr>
        <sz val="9"/>
        <color rgb="FF000000"/>
        <rFont val="WenQuanYi Zen Hei"/>
        <family val="2"/>
      </rPr>
      <t xml:space="preserve">・期間中の交代禁止（または交代時の品質担保条件）・他案件との重複状況を統一様式で提出させる（</t>
    </r>
    <r>
      <rPr>
        <sz val="9"/>
        <color rgb="FF000000"/>
        <rFont val="Meiryo"/>
        <family val="0"/>
        <charset val="1"/>
      </rPr>
      <t xml:space="preserve">A</t>
    </r>
    <r>
      <rPr>
        <sz val="9"/>
        <color rgb="FF000000"/>
        <rFont val="WenQuanYi Zen Hei"/>
        <family val="2"/>
      </rPr>
      <t xml:space="preserve">社の「</t>
    </r>
    <r>
      <rPr>
        <sz val="9"/>
        <color rgb="FF000000"/>
        <rFont val="Meiryo"/>
        <family val="0"/>
        <charset val="1"/>
      </rPr>
      <t xml:space="preserve">or</t>
    </r>
    <r>
      <rPr>
        <sz val="9"/>
        <color rgb="FF000000"/>
        <rFont val="WenQuanYi Zen Hei"/>
        <family val="2"/>
      </rPr>
      <t xml:space="preserve">」、</t>
    </r>
    <r>
      <rPr>
        <sz val="9"/>
        <color rgb="FF000000"/>
        <rFont val="Meiryo"/>
        <family val="0"/>
        <charset val="1"/>
      </rPr>
      <t xml:space="preserve">B</t>
    </r>
    <r>
      <rPr>
        <sz val="9"/>
        <color rgb="FF000000"/>
        <rFont val="WenQuanYi Zen Hei"/>
        <family val="2"/>
      </rPr>
      <t xml:space="preserve">社の実働</t>
    </r>
    <r>
      <rPr>
        <sz val="9"/>
        <color rgb="FF000000"/>
        <rFont val="Meiryo"/>
        <family val="0"/>
        <charset val="1"/>
      </rPr>
      <t xml:space="preserve">TBD</t>
    </r>
    <r>
      <rPr>
        <sz val="9"/>
        <color rgb="FF000000"/>
        <rFont val="WenQuanYi Zen Hei"/>
        <family val="2"/>
      </rPr>
      <t xml:space="preserve">、</t>
    </r>
    <r>
      <rPr>
        <sz val="9"/>
        <color rgb="FF000000"/>
        <rFont val="Meiryo"/>
        <family val="0"/>
        <charset val="1"/>
      </rPr>
      <t xml:space="preserve">C</t>
    </r>
    <r>
      <rPr>
        <sz val="9"/>
        <color rgb="FF000000"/>
        <rFont val="WenQuanYi Zen Hei"/>
        <family val="2"/>
      </rPr>
      <t xml:space="preserve">社の「変更の可能性」注記をすべて解消してから価格を比較する）。</t>
    </r>
  </si>
  <si>
    <t xml:space="preserve">⑥ スコープ差の相殺確認〔新規〕</t>
  </si>
  <si>
    <r>
      <rPr>
        <sz val="9"/>
        <color rgb="FF000000"/>
        <rFont val="Meiryo"/>
        <family val="0"/>
        <charset val="1"/>
      </rPr>
      <t xml:space="preserve">PwC(</t>
    </r>
    <r>
      <rPr>
        <sz val="9"/>
        <color rgb="FF000000"/>
        <rFont val="WenQuanYi Zen Hei"/>
        <family val="2"/>
      </rPr>
      <t xml:space="preserve">案②</t>
    </r>
    <r>
      <rPr>
        <sz val="9"/>
        <color rgb="FF000000"/>
        <rFont val="Meiryo"/>
        <family val="0"/>
        <charset val="1"/>
      </rPr>
      <t xml:space="preserve">27M)</t>
    </r>
    <r>
      <rPr>
        <sz val="9"/>
        <color rgb="FF000000"/>
        <rFont val="WenQuanYi Zen Hei"/>
        <family val="2"/>
      </rPr>
      <t xml:space="preserve">には含まれる「開示効率化検討・展開計画・定着計画・</t>
    </r>
    <r>
      <rPr>
        <sz val="9"/>
        <color rgb="FF000000"/>
        <rFont val="Meiryo"/>
        <family val="0"/>
        <charset val="1"/>
      </rPr>
      <t xml:space="preserve">PJ</t>
    </r>
    <r>
      <rPr>
        <sz val="9"/>
        <color rgb="FF000000"/>
        <rFont val="WenQuanYi Zen Hei"/>
        <family val="2"/>
      </rPr>
      <t xml:space="preserve">計画書」が、アビームの基本スコープ</t>
    </r>
    <r>
      <rPr>
        <sz val="9"/>
        <color rgb="FF000000"/>
        <rFont val="Meiryo"/>
        <family val="0"/>
        <charset val="1"/>
      </rPr>
      <t xml:space="preserve">(53M)</t>
    </r>
    <r>
      <rPr>
        <sz val="9"/>
        <color rgb="FF000000"/>
        <rFont val="WenQuanYi Zen Hei"/>
        <family val="2"/>
      </rPr>
      <t xml:space="preserve">には含まれず</t>
    </r>
    <r>
      <rPr>
        <sz val="9"/>
        <color rgb="FF000000"/>
        <rFont val="Meiryo"/>
        <family val="0"/>
        <charset val="1"/>
      </rPr>
      <t xml:space="preserve">Option B</t>
    </r>
    <r>
      <rPr>
        <sz val="9"/>
        <color rgb="FF000000"/>
        <rFont val="WenQuanYi Zen Hei"/>
        <family val="2"/>
      </rPr>
      <t xml:space="preserve">に追い出されている。アビームには「なぜ自社の基本スコープは</t>
    </r>
    <r>
      <rPr>
        <sz val="9"/>
        <color rgb="FF000000"/>
        <rFont val="Meiryo"/>
        <family val="0"/>
        <charset val="1"/>
      </rPr>
      <t xml:space="preserve">PwC</t>
    </r>
    <r>
      <rPr>
        <sz val="9"/>
        <color rgb="FF000000"/>
        <rFont val="WenQuanYi Zen Hei"/>
        <family val="2"/>
      </rPr>
      <t xml:space="preserve">の</t>
    </r>
    <r>
      <rPr>
        <sz val="9"/>
        <color rgb="FF000000"/>
        <rFont val="Meiryo"/>
        <family val="0"/>
        <charset val="1"/>
      </rPr>
      <t xml:space="preserve">27M</t>
    </r>
    <r>
      <rPr>
        <sz val="9"/>
        <color rgb="FF000000"/>
        <rFont val="WenQuanYi Zen Hei"/>
        <family val="2"/>
      </rPr>
      <t xml:space="preserve">より狭いのに</t>
    </r>
    <r>
      <rPr>
        <sz val="9"/>
        <color rgb="FF000000"/>
        <rFont val="Meiryo"/>
        <family val="0"/>
        <charset val="1"/>
      </rPr>
      <t xml:space="preserve">53M</t>
    </r>
    <r>
      <rPr>
        <sz val="9"/>
        <color rgb="FF000000"/>
        <rFont val="WenQuanYi Zen Hei"/>
        <family val="2"/>
      </rPr>
      <t xml:space="preserve">なのか」を工数内訳（②）とセットで説明させる。逆にライズには「独立したデータ要件定義書・アーキテクチャ図・ユースケース優先順位付けが成果物にない」ことを指摘し、不足時の追加費用を確認する。</t>
    </r>
  </si>
  <si>
    <r>
      <rPr>
        <b val="true"/>
        <sz val="13"/>
        <color rgb="FFFFFFFF"/>
        <rFont val="WenQuanYi Zen Hei"/>
        <family val="2"/>
      </rPr>
      <t xml:space="preserve">スコープ構造比較｜</t>
    </r>
    <r>
      <rPr>
        <b val="true"/>
        <sz val="13"/>
        <color rgb="FFFFFFFF"/>
        <rFont val="Meiryo"/>
        <family val="0"/>
        <charset val="1"/>
      </rPr>
      <t xml:space="preserve">5</t>
    </r>
    <r>
      <rPr>
        <b val="true"/>
        <sz val="13"/>
        <color rgb="FFFFFFFF"/>
        <rFont val="WenQuanYi Zen Hei"/>
        <family val="2"/>
      </rPr>
      <t xml:space="preserve">つの難所ベースの</t>
    </r>
    <r>
      <rPr>
        <b val="true"/>
        <sz val="13"/>
        <color rgb="FFFFFFFF"/>
        <rFont val="Meiryo"/>
        <family val="0"/>
        <charset val="1"/>
      </rPr>
      <t xml:space="preserve">3</t>
    </r>
    <r>
      <rPr>
        <b val="true"/>
        <sz val="13"/>
        <color rgb="FFFFFFFF"/>
        <rFont val="WenQuanYi Zen Hei"/>
        <family val="2"/>
      </rPr>
      <t xml:space="preserve">層フレームワーク</t>
    </r>
  </si>
  <si>
    <r>
      <rPr>
        <sz val="9"/>
        <color rgb="FF000000"/>
        <rFont val="WenQuanYi Zen Hei"/>
        <family val="2"/>
      </rPr>
      <t xml:space="preserve">【方法論】各社の提案書が使う成果物名・タスク名でベースラインを作ると、いずれか</t>
    </r>
    <r>
      <rPr>
        <sz val="9"/>
        <color rgb="FF000000"/>
        <rFont val="Meiryo"/>
        <family val="0"/>
        <charset val="1"/>
      </rPr>
      <t xml:space="preserve">1</t>
    </r>
    <r>
      <rPr>
        <sz val="9"/>
        <color rgb="FF000000"/>
        <rFont val="WenQuanYi Zen Hei"/>
        <family val="2"/>
      </rPr>
      <t xml:space="preserve">社の粒度に比較が引き寄せられる（アンカリングバイアス）。これを避けるため、</t>
    </r>
    <r>
      <rPr>
        <sz val="9"/>
        <color rgb="FF000000"/>
        <rFont val="Meiryo"/>
        <family val="0"/>
        <charset val="1"/>
      </rPr>
      <t xml:space="preserve">3</t>
    </r>
    <r>
      <rPr>
        <sz val="9"/>
        <color rgb="FF000000"/>
        <rFont val="WenQuanYi Zen Hei"/>
        <family val="2"/>
      </rPr>
      <t xml:space="preserve">社全員が自社の言葉に翻訳する前に必ず引用している貴社側の共通言語＝「</t>
    </r>
    <r>
      <rPr>
        <sz val="9"/>
        <color rgb="FF000000"/>
        <rFont val="Meiryo"/>
        <family val="0"/>
        <charset val="1"/>
      </rPr>
      <t xml:space="preserve">5</t>
    </r>
    <r>
      <rPr>
        <sz val="9"/>
        <color rgb="FF000000"/>
        <rFont val="WenQuanYi Zen Hei"/>
        <family val="2"/>
      </rPr>
      <t xml:space="preserve">つの難所」を層</t>
    </r>
    <r>
      <rPr>
        <sz val="9"/>
        <color rgb="FF000000"/>
        <rFont val="Meiryo"/>
        <family val="0"/>
        <charset val="1"/>
      </rPr>
      <t xml:space="preserve">1</t>
    </r>
    <r>
      <rPr>
        <sz val="9"/>
        <color rgb="FF000000"/>
        <rFont val="WenQuanYi Zen Hei"/>
        <family val="2"/>
      </rPr>
      <t xml:space="preserve">の軸として採用する。層</t>
    </r>
    <r>
      <rPr>
        <sz val="9"/>
        <color rgb="FF000000"/>
        <rFont val="Meiryo"/>
        <family val="0"/>
        <charset val="1"/>
      </rPr>
      <t xml:space="preserve">1(</t>
    </r>
    <r>
      <rPr>
        <sz val="9"/>
        <color rgb="FF000000"/>
        <rFont val="WenQuanYi Zen Hei"/>
        <family val="2"/>
      </rPr>
      <t xml:space="preserve">論点</t>
    </r>
    <r>
      <rPr>
        <sz val="9"/>
        <color rgb="FF000000"/>
        <rFont val="Meiryo"/>
        <family val="0"/>
        <charset val="1"/>
      </rPr>
      <t xml:space="preserve">)→</t>
    </r>
    <r>
      <rPr>
        <sz val="9"/>
        <color rgb="FF000000"/>
        <rFont val="WenQuanYi Zen Hei"/>
        <family val="2"/>
      </rPr>
      <t xml:space="preserve">層</t>
    </r>
    <r>
      <rPr>
        <sz val="9"/>
        <color rgb="FF000000"/>
        <rFont val="Meiryo"/>
        <family val="0"/>
        <charset val="1"/>
      </rPr>
      <t xml:space="preserve">2(</t>
    </r>
    <r>
      <rPr>
        <sz val="9"/>
        <color rgb="FF000000"/>
        <rFont val="WenQuanYi Zen Hei"/>
        <family val="2"/>
      </rPr>
      <t xml:space="preserve">成果物の独立性</t>
    </r>
    <r>
      <rPr>
        <sz val="9"/>
        <color rgb="FF000000"/>
        <rFont val="Meiryo"/>
        <family val="0"/>
        <charset val="1"/>
      </rPr>
      <t xml:space="preserve">)→</t>
    </r>
    <r>
      <rPr>
        <sz val="9"/>
        <color rgb="FF000000"/>
        <rFont val="WenQuanYi Zen Hei"/>
        <family val="2"/>
      </rPr>
      <t xml:space="preserve">層</t>
    </r>
    <r>
      <rPr>
        <sz val="9"/>
        <color rgb="FF000000"/>
        <rFont val="Meiryo"/>
        <family val="0"/>
        <charset val="1"/>
      </rPr>
      <t xml:space="preserve">3(</t>
    </r>
    <r>
      <rPr>
        <sz val="9"/>
        <color rgb="FF000000"/>
        <rFont val="WenQuanYi Zen Hei"/>
        <family val="2"/>
      </rPr>
      <t xml:space="preserve">深さ</t>
    </r>
    <r>
      <rPr>
        <sz val="9"/>
        <color rgb="FF000000"/>
        <rFont val="Meiryo"/>
        <family val="0"/>
        <charset val="1"/>
      </rPr>
      <t xml:space="preserve">×</t>
    </r>
    <r>
      <rPr>
        <sz val="9"/>
        <color rgb="FF000000"/>
        <rFont val="WenQuanYi Zen Hei"/>
        <family val="2"/>
      </rPr>
      <t xml:space="preserve">担当</t>
    </r>
    <r>
      <rPr>
        <sz val="9"/>
        <color rgb="FF000000"/>
        <rFont val="Meiryo"/>
        <family val="0"/>
        <charset val="1"/>
      </rPr>
      <t xml:space="preserve">)</t>
    </r>
    <r>
      <rPr>
        <sz val="9"/>
        <color rgb="FF000000"/>
        <rFont val="WenQuanYi Zen Hei"/>
        <family val="2"/>
      </rPr>
      <t xml:space="preserve">の</t>
    </r>
    <r>
      <rPr>
        <sz val="9"/>
        <color rgb="FF000000"/>
        <rFont val="Meiryo"/>
        <family val="0"/>
        <charset val="1"/>
      </rPr>
      <t xml:space="preserve">3</t>
    </r>
    <r>
      <rPr>
        <sz val="9"/>
        <color rgb="FF000000"/>
        <rFont val="WenQuanYi Zen Hei"/>
        <family val="2"/>
      </rPr>
      <t xml:space="preserve">層で見ることで、「含む</t>
    </r>
    <r>
      <rPr>
        <sz val="9"/>
        <color rgb="FF000000"/>
        <rFont val="Meiryo"/>
        <family val="0"/>
        <charset val="1"/>
      </rPr>
      <t xml:space="preserve">/</t>
    </r>
    <r>
      <rPr>
        <sz val="9"/>
        <color rgb="FF000000"/>
        <rFont val="WenQuanYi Zen Hei"/>
        <family val="2"/>
      </rPr>
      <t xml:space="preserve">含まない」の○✕だけでは見えない深さの差（例</t>
    </r>
    <r>
      <rPr>
        <sz val="9"/>
        <color rgb="FF000000"/>
        <rFont val="Meiryo"/>
        <family val="0"/>
        <charset val="1"/>
      </rPr>
      <t xml:space="preserve">:</t>
    </r>
    <r>
      <rPr>
        <sz val="9"/>
        <color rgb="FF000000"/>
        <rFont val="WenQuanYi Zen Hei"/>
        <family val="2"/>
      </rPr>
      <t xml:space="preserve">アーキテクチャ『素案』の中身が浅いか深いか）を捕捉する。</t>
    </r>
  </si>
  <si>
    <r>
      <rPr>
        <b val="true"/>
        <sz val="9"/>
        <color rgb="FF000000"/>
        <rFont val="WenQuanYi Zen Hei"/>
        <family val="2"/>
      </rPr>
      <t xml:space="preserve">【深さレベルの凡例】 </t>
    </r>
    <r>
      <rPr>
        <b val="true"/>
        <sz val="9"/>
        <color rgb="FF000000"/>
        <rFont val="Meiryo"/>
        <family val="0"/>
        <charset val="1"/>
      </rPr>
      <t xml:space="preserve">L0=</t>
    </r>
    <r>
      <rPr>
        <b val="true"/>
        <sz val="9"/>
        <color rgb="FF000000"/>
        <rFont val="WenQuanYi Zen Hei"/>
        <family val="2"/>
      </rPr>
      <t xml:space="preserve">前提として扱う</t>
    </r>
    <r>
      <rPr>
        <b val="true"/>
        <sz val="9"/>
        <color rgb="FF000000"/>
        <rFont val="Meiryo"/>
        <family val="0"/>
        <charset val="1"/>
      </rPr>
      <t xml:space="preserve">(</t>
    </r>
    <r>
      <rPr>
        <b val="true"/>
        <sz val="9"/>
        <color rgb="FF000000"/>
        <rFont val="WenQuanYi Zen Hei"/>
        <family val="2"/>
      </rPr>
      <t xml:space="preserve">検討しない</t>
    </r>
    <r>
      <rPr>
        <b val="true"/>
        <sz val="9"/>
        <color rgb="FF000000"/>
        <rFont val="Meiryo"/>
        <family val="0"/>
        <charset val="1"/>
      </rPr>
      <t xml:space="preserve">)</t>
    </r>
    <r>
      <rPr>
        <b val="true"/>
        <sz val="9"/>
        <color rgb="FF000000"/>
        <rFont val="WenQuanYi Zen Hei"/>
        <family val="2"/>
      </rPr>
      <t xml:space="preserve">／</t>
    </r>
    <r>
      <rPr>
        <b val="true"/>
        <sz val="9"/>
        <color rgb="FF000000"/>
        <rFont val="Meiryo"/>
        <family val="0"/>
        <charset val="1"/>
      </rPr>
      <t xml:space="preserve">L1=</t>
    </r>
    <r>
      <rPr>
        <b val="true"/>
        <sz val="9"/>
        <color rgb="FF000000"/>
        <rFont val="WenQuanYi Zen Hei"/>
        <family val="2"/>
      </rPr>
      <t xml:space="preserve">初期仮説の提示のみ／</t>
    </r>
    <r>
      <rPr>
        <b val="true"/>
        <sz val="9"/>
        <color rgb="FF000000"/>
        <rFont val="Meiryo"/>
        <family val="0"/>
        <charset val="1"/>
      </rPr>
      <t xml:space="preserve">L2=</t>
    </r>
    <r>
      <rPr>
        <b val="true"/>
        <sz val="9"/>
        <color rgb="FF000000"/>
        <rFont val="WenQuanYi Zen Hei"/>
        <family val="2"/>
      </rPr>
      <t xml:space="preserve">検討方法論・設計手順の提示／</t>
    </r>
    <r>
      <rPr>
        <b val="true"/>
        <sz val="9"/>
        <color rgb="FF000000"/>
        <rFont val="Meiryo"/>
        <family val="0"/>
        <charset val="1"/>
      </rPr>
      <t xml:space="preserve">L3=</t>
    </r>
    <r>
      <rPr>
        <b val="true"/>
        <sz val="9"/>
        <color rgb="FF000000"/>
        <rFont val="WenQuanYi Zen Hei"/>
        <family val="2"/>
      </rPr>
      <t xml:space="preserve">具体的な設計・詳細ルールの確定／</t>
    </r>
    <r>
      <rPr>
        <b val="true"/>
        <sz val="9"/>
        <color rgb="FF000000"/>
        <rFont val="Meiryo"/>
        <family val="0"/>
        <charset val="1"/>
      </rPr>
      <t xml:space="preserve">L4=</t>
    </r>
    <r>
      <rPr>
        <b val="true"/>
        <sz val="9"/>
        <color rgb="FF000000"/>
        <rFont val="WenQuanYi Zen Hei"/>
        <family val="2"/>
      </rPr>
      <t xml:space="preserve">詳細設計・物理設計まで</t>
    </r>
  </si>
  <si>
    <r>
      <rPr>
        <b val="true"/>
        <sz val="9"/>
        <color rgb="FFFFFFFF"/>
        <rFont val="WenQuanYi Zen Hei"/>
        <family val="2"/>
      </rPr>
      <t xml:space="preserve">難所（層</t>
    </r>
    <r>
      <rPr>
        <b val="true"/>
        <sz val="9"/>
        <color rgb="FFFFFFFF"/>
        <rFont val="Meiryo"/>
        <family val="0"/>
        <charset val="1"/>
      </rPr>
      <t xml:space="preserve">1</t>
    </r>
    <r>
      <rPr>
        <b val="true"/>
        <sz val="9"/>
        <color rgb="FFFFFFFF"/>
        <rFont val="WenQuanYi Zen Hei"/>
        <family val="2"/>
      </rPr>
      <t xml:space="preserve">：貴社</t>
    </r>
    <r>
      <rPr>
        <b val="true"/>
        <sz val="9"/>
        <color rgb="FFFFFFFF"/>
        <rFont val="Meiryo"/>
        <family val="0"/>
        <charset val="1"/>
      </rPr>
      <t xml:space="preserve">RFP</t>
    </r>
    <r>
      <rPr>
        <b val="true"/>
        <sz val="9"/>
        <color rgb="FFFFFFFF"/>
        <rFont val="WenQuanYi Zen Hei"/>
        <family val="2"/>
      </rPr>
      <t xml:space="preserve">由来の共通言語）</t>
    </r>
  </si>
  <si>
    <r>
      <rPr>
        <b val="true"/>
        <sz val="9"/>
        <color rgb="FFFFFFFF"/>
        <rFont val="Meiryo"/>
        <family val="0"/>
        <charset val="1"/>
      </rPr>
      <t xml:space="preserve">B</t>
    </r>
    <r>
      <rPr>
        <b val="true"/>
        <sz val="9"/>
        <color rgb="FFFFFFFF"/>
        <rFont val="WenQuanYi Zen Hei"/>
        <family val="2"/>
      </rPr>
      <t xml:space="preserve">社：</t>
    </r>
    <r>
      <rPr>
        <b val="true"/>
        <sz val="9"/>
        <color rgb="FFFFFFFF"/>
        <rFont val="Meiryo"/>
        <family val="0"/>
        <charset val="1"/>
      </rPr>
      <t xml:space="preserve">PwC</t>
    </r>
  </si>
  <si>
    <r>
      <rPr>
        <b val="true"/>
        <sz val="9"/>
        <color rgb="FFFFFFFF"/>
        <rFont val="Meiryo"/>
        <family val="0"/>
        <charset val="1"/>
      </rPr>
      <t xml:space="preserve">C</t>
    </r>
    <r>
      <rPr>
        <b val="true"/>
        <sz val="9"/>
        <color rgb="FFFFFFFF"/>
        <rFont val="WenQuanYi Zen Hei"/>
        <family val="2"/>
      </rPr>
      <t xml:space="preserve">社：アビーム</t>
    </r>
  </si>
  <si>
    <r>
      <rPr>
        <b val="true"/>
        <sz val="8"/>
        <color rgb="FF000000"/>
        <rFont val="WenQuanYi Zen Hei"/>
        <family val="2"/>
      </rPr>
      <t xml:space="preserve">①ルールの策定
</t>
    </r>
    <r>
      <rPr>
        <b val="true"/>
        <sz val="8"/>
        <color rgb="FF000000"/>
        <rFont val="Meiryo"/>
        <family val="0"/>
        <charset val="1"/>
      </rPr>
      <t xml:space="preserve">(</t>
    </r>
    <r>
      <rPr>
        <b val="true"/>
        <sz val="8"/>
        <color rgb="FF000000"/>
        <rFont val="WenQuanYi Zen Hei"/>
        <family val="2"/>
      </rPr>
      <t xml:space="preserve">算定・開示要件の定義</t>
    </r>
    <r>
      <rPr>
        <b val="true"/>
        <sz val="8"/>
        <color rgb="FF000000"/>
        <rFont val="Meiryo"/>
        <family val="0"/>
        <charset val="1"/>
      </rPr>
      <t xml:space="preserve">)</t>
    </r>
  </si>
  <si>
    <r>
      <rPr>
        <sz val="8"/>
        <color rgb="FF000000"/>
        <rFont val="Meiryo"/>
        <family val="0"/>
        <charset val="1"/>
      </rPr>
      <t xml:space="preserve">L1</t>
    </r>
    <r>
      <rPr>
        <sz val="8"/>
        <color rgb="FF000000"/>
        <rFont val="WenQuanYi Zen Hei"/>
        <family val="2"/>
      </rPr>
      <t xml:space="preserve">：初期仮説</t>
    </r>
    <r>
      <rPr>
        <sz val="8"/>
        <color rgb="FF000000"/>
        <rFont val="Meiryo"/>
        <family val="0"/>
        <charset val="1"/>
      </rPr>
      <t xml:space="preserve">3</t>
    </r>
    <r>
      <rPr>
        <sz val="8"/>
        <color rgb="FF000000"/>
        <rFont val="WenQuanYi Zen Hei"/>
        <family val="2"/>
      </rPr>
      <t xml:space="preserve">点（</t>
    </r>
    <r>
      <rPr>
        <sz val="8"/>
        <color rgb="FF000000"/>
        <rFont val="Meiryo"/>
        <family val="0"/>
        <charset val="1"/>
      </rPr>
      <t xml:space="preserve">4</t>
    </r>
    <r>
      <rPr>
        <sz val="8"/>
        <color rgb="FF000000"/>
        <rFont val="WenQuanYi Zen Hei"/>
        <family val="2"/>
      </rPr>
      <t xml:space="preserve">つの会計整理／前提パラメータ資産化／変更前提の柔軟設計）を提示し、</t>
    </r>
    <r>
      <rPr>
        <sz val="8"/>
        <color rgb="FF000000"/>
        <rFont val="Meiryo"/>
        <family val="0"/>
        <charset val="1"/>
      </rPr>
      <t xml:space="preserve">9</t>
    </r>
    <r>
      <rPr>
        <sz val="8"/>
        <color rgb="FF000000"/>
        <rFont val="WenQuanYi Zen Hei"/>
        <family val="2"/>
      </rPr>
      <t xml:space="preserve">月に先行着手。担当＝中村</t>
    </r>
    <r>
      <rPr>
        <sz val="8"/>
        <color rgb="FF000000"/>
        <rFont val="Meiryo"/>
        <family val="0"/>
        <charset val="1"/>
      </rPr>
      <t xml:space="preserve">(SME</t>
    </r>
    <r>
      <rPr>
        <sz val="8"/>
        <color rgb="FF000000"/>
        <rFont val="WenQuanYi Zen Hei"/>
        <family val="2"/>
      </rPr>
      <t xml:space="preserve">・アソシエイトパートナー</t>
    </r>
    <r>
      <rPr>
        <sz val="8"/>
        <color rgb="FF000000"/>
        <rFont val="Meiryo"/>
        <family val="0"/>
        <charset val="1"/>
      </rPr>
      <t xml:space="preserve">)</t>
    </r>
    <r>
      <rPr>
        <sz val="8"/>
        <color rgb="FF000000"/>
        <rFont val="WenQuanYi Zen Hei"/>
        <family val="2"/>
      </rPr>
      <t xml:space="preserve">。基本スコープ内。</t>
    </r>
  </si>
  <si>
    <r>
      <rPr>
        <sz val="8"/>
        <color rgb="FF000000"/>
        <rFont val="Meiryo"/>
        <family val="0"/>
        <charset val="1"/>
      </rPr>
      <t xml:space="preserve">L0</t>
    </r>
    <r>
      <rPr>
        <sz val="8"/>
        <color rgb="FF000000"/>
        <rFont val="WenQuanYi Zen Hei"/>
        <family val="2"/>
      </rPr>
      <t xml:space="preserve">：「事前に</t>
    </r>
    <r>
      <rPr>
        <sz val="8"/>
        <color rgb="FF000000"/>
        <rFont val="Meiryo"/>
        <family val="0"/>
        <charset val="1"/>
      </rPr>
      <t xml:space="preserve">LION</t>
    </r>
    <r>
      <rPr>
        <sz val="8"/>
        <color rgb="FF000000"/>
        <rFont val="WenQuanYi Zen Hei"/>
        <family val="2"/>
      </rPr>
      <t xml:space="preserve">様にて策定済みと想定」と前提化。本フェーズでの検討タスクなし。</t>
    </r>
  </si>
  <si>
    <r>
      <rPr>
        <sz val="8"/>
        <color rgb="FF000000"/>
        <rFont val="Meiryo"/>
        <family val="0"/>
        <charset val="1"/>
      </rPr>
      <t xml:space="preserve">L2</t>
    </r>
    <r>
      <rPr>
        <sz val="8"/>
        <color rgb="FF000000"/>
        <rFont val="WenQuanYi Zen Hei"/>
        <family val="2"/>
      </rPr>
      <t xml:space="preserve">〜</t>
    </r>
    <r>
      <rPr>
        <sz val="8"/>
        <color rgb="FF000000"/>
        <rFont val="Meiryo"/>
        <family val="0"/>
        <charset val="1"/>
      </rPr>
      <t xml:space="preserve">L3</t>
    </r>
    <r>
      <rPr>
        <sz val="8"/>
        <color rgb="FF000000"/>
        <rFont val="WenQuanYi Zen Hei"/>
        <family val="2"/>
      </rPr>
      <t xml:space="preserve">（提案内に矛盾あり）：出口設計（</t>
    </r>
    <r>
      <rPr>
        <sz val="8"/>
        <color rgb="FF000000"/>
        <rFont val="Meiryo"/>
        <family val="0"/>
        <charset val="1"/>
      </rPr>
      <t xml:space="preserve">#2</t>
    </r>
    <r>
      <rPr>
        <sz val="8"/>
        <color rgb="FF000000"/>
        <rFont val="WenQuanYi Zen Hei"/>
        <family val="2"/>
      </rPr>
      <t xml:space="preserve">）で</t>
    </r>
    <r>
      <rPr>
        <sz val="8"/>
        <color rgb="FF000000"/>
        <rFont val="Meiryo"/>
        <family val="0"/>
        <charset val="1"/>
      </rPr>
      <t xml:space="preserve">Must/Should/Could×</t>
    </r>
    <r>
      <rPr>
        <sz val="8"/>
        <color rgb="FF000000"/>
        <rFont val="WenQuanYi Zen Hei"/>
        <family val="2"/>
      </rPr>
      <t xml:space="preserve">戦略依存の</t>
    </r>
    <r>
      <rPr>
        <sz val="8"/>
        <color rgb="FF000000"/>
        <rFont val="Meiryo"/>
        <family val="0"/>
        <charset val="1"/>
      </rPr>
      <t xml:space="preserve">6</t>
    </r>
    <r>
      <rPr>
        <sz val="8"/>
        <color rgb="FF000000"/>
        <rFont val="WenQuanYi Zen Hei"/>
        <family val="2"/>
      </rPr>
      <t xml:space="preserve">象限により線引き合意を最上流の意思決定点に設計＝方法論は</t>
    </r>
    <r>
      <rPr>
        <sz val="8"/>
        <color rgb="FF000000"/>
        <rFont val="Meiryo"/>
        <family val="0"/>
        <charset val="1"/>
      </rPr>
      <t xml:space="preserve">L3</t>
    </r>
    <r>
      <rPr>
        <sz val="8"/>
        <color rgb="FF000000"/>
        <rFont val="WenQuanYi Zen Hei"/>
        <family val="2"/>
      </rPr>
      <t xml:space="preserve">。一方、業務要件検討の前提としては「事前に策定済みと想定」＝</t>
    </r>
    <r>
      <rPr>
        <sz val="8"/>
        <color rgb="FF000000"/>
        <rFont val="Meiryo"/>
        <family val="0"/>
        <charset val="1"/>
      </rPr>
      <t xml:space="preserve">L0</t>
    </r>
    <r>
      <rPr>
        <sz val="8"/>
        <color rgb="FF000000"/>
        <rFont val="WenQuanYi Zen Hei"/>
        <family val="2"/>
      </rPr>
      <t xml:space="preserve">の記述も併存。質疑で実際の検討範囲を確定要。担当＝山野</t>
    </r>
    <r>
      <rPr>
        <sz val="8"/>
        <color rgb="FF000000"/>
        <rFont val="Meiryo"/>
        <family val="0"/>
        <charset val="1"/>
      </rPr>
      <t xml:space="preserve">(M)+</t>
    </r>
    <r>
      <rPr>
        <sz val="8"/>
        <color rgb="FF000000"/>
        <rFont val="WenQuanYi Zen Hei"/>
        <family val="2"/>
      </rPr>
      <t xml:space="preserve">今野</t>
    </r>
    <r>
      <rPr>
        <sz val="8"/>
        <color rgb="FF000000"/>
        <rFont val="Meiryo"/>
        <family val="0"/>
        <charset val="1"/>
      </rPr>
      <t xml:space="preserve">(P)</t>
    </r>
    <r>
      <rPr>
        <sz val="8"/>
        <color rgb="FF000000"/>
        <rFont val="WenQuanYi Zen Hei"/>
        <family val="2"/>
      </rPr>
      <t xml:space="preserve">。基本スコープ内。</t>
    </r>
  </si>
  <si>
    <r>
      <rPr>
        <b val="true"/>
        <sz val="8"/>
        <color rgb="FF000000"/>
        <rFont val="WenQuanYi Zen Hei"/>
        <family val="2"/>
      </rPr>
      <t xml:space="preserve">②データ収集
</t>
    </r>
    <r>
      <rPr>
        <b val="true"/>
        <sz val="8"/>
        <color rgb="FF000000"/>
        <rFont val="Meiryo"/>
        <family val="0"/>
        <charset val="1"/>
      </rPr>
      <t xml:space="preserve">(</t>
    </r>
    <r>
      <rPr>
        <b val="true"/>
        <sz val="8"/>
        <color rgb="FF000000"/>
        <rFont val="WenQuanYi Zen Hei"/>
        <family val="2"/>
      </rPr>
      <t xml:space="preserve">データ所在の特定と入手</t>
    </r>
    <r>
      <rPr>
        <b val="true"/>
        <sz val="8"/>
        <color rgb="FF000000"/>
        <rFont val="Meiryo"/>
        <family val="0"/>
        <charset val="1"/>
      </rPr>
      <t xml:space="preserve">)</t>
    </r>
  </si>
  <si>
    <r>
      <rPr>
        <sz val="8"/>
        <color rgb="FF000000"/>
        <rFont val="Meiryo"/>
        <family val="0"/>
        <charset val="1"/>
      </rPr>
      <t xml:space="preserve">L1</t>
    </r>
    <r>
      <rPr>
        <sz val="8"/>
        <color rgb="FF000000"/>
        <rFont val="WenQuanYi Zen Hei"/>
        <family val="2"/>
      </rPr>
      <t xml:space="preserve">：システム要件定義における基本方針に基づき整理（基本方針止まり、詳細化は次工程）。</t>
    </r>
  </si>
  <si>
    <r>
      <rPr>
        <sz val="8"/>
        <color rgb="FF000000"/>
        <rFont val="Meiryo"/>
        <family val="0"/>
        <charset val="1"/>
      </rPr>
      <t xml:space="preserve">L3</t>
    </r>
    <r>
      <rPr>
        <sz val="8"/>
        <color rgb="FF000000"/>
        <rFont val="WenQuanYi Zen Hei"/>
        <family val="2"/>
      </rPr>
      <t xml:space="preserve">：収集項目特定→原始データ取得→提出データ変換→提出の</t>
    </r>
    <r>
      <rPr>
        <sz val="8"/>
        <color rgb="FF000000"/>
        <rFont val="Meiryo"/>
        <family val="0"/>
        <charset val="1"/>
      </rPr>
      <t xml:space="preserve">4</t>
    </r>
    <r>
      <rPr>
        <sz val="8"/>
        <color rgb="FF000000"/>
        <rFont val="WenQuanYi Zen Hei"/>
        <family val="2"/>
      </rPr>
      <t xml:space="preserve">フロー</t>
    </r>
    <r>
      <rPr>
        <sz val="8"/>
        <color rgb="FF000000"/>
        <rFont val="Meiryo"/>
        <family val="0"/>
        <charset val="1"/>
      </rPr>
      <t xml:space="preserve">×5</t>
    </r>
    <r>
      <rPr>
        <sz val="8"/>
        <color rgb="FF000000"/>
        <rFont val="WenQuanYi Zen Hei"/>
        <family val="2"/>
      </rPr>
      <t xml:space="preserve">つの「よくある課題</t>
    </r>
    <r>
      <rPr>
        <sz val="8"/>
        <color rgb="FF000000"/>
        <rFont val="Meiryo"/>
        <family val="0"/>
        <charset val="1"/>
      </rPr>
      <t xml:space="preserve">×</t>
    </r>
    <r>
      <rPr>
        <sz val="8"/>
        <color rgb="FF000000"/>
        <rFont val="WenQuanYi Zen Hei"/>
        <family val="2"/>
      </rPr>
      <t xml:space="preserve">対応設計」まで具体化（拠点内排出源網羅・原始データフォーマット・期間不一致・単位変換・例外対応）。担当＝須貝</t>
    </r>
    <r>
      <rPr>
        <sz val="8"/>
        <color rgb="FF000000"/>
        <rFont val="Meiryo"/>
        <family val="0"/>
        <charset val="1"/>
      </rPr>
      <t xml:space="preserve">(SM)</t>
    </r>
    <r>
      <rPr>
        <sz val="8"/>
        <color rgb="FF000000"/>
        <rFont val="WenQuanYi Zen Hei"/>
        <family val="2"/>
      </rPr>
      <t xml:space="preserve">。</t>
    </r>
    <r>
      <rPr>
        <sz val="8"/>
        <color rgb="FF000000"/>
        <rFont val="Meiryo"/>
        <family val="0"/>
        <charset val="1"/>
      </rPr>
      <t xml:space="preserve">3</t>
    </r>
    <r>
      <rPr>
        <sz val="8"/>
        <color rgb="FF000000"/>
        <rFont val="WenQuanYi Zen Hei"/>
        <family val="2"/>
      </rPr>
      <t xml:space="preserve">社中最も具体的。基本スコープ内。</t>
    </r>
  </si>
  <si>
    <r>
      <rPr>
        <sz val="8"/>
        <color rgb="FF000000"/>
        <rFont val="Meiryo"/>
        <family val="0"/>
        <charset val="1"/>
      </rPr>
      <t xml:space="preserve">L2</t>
    </r>
    <r>
      <rPr>
        <sz val="8"/>
        <color rgb="FF000000"/>
        <rFont val="WenQuanYi Zen Hei"/>
        <family val="2"/>
      </rPr>
      <t xml:space="preserve">：拠点</t>
    </r>
    <r>
      <rPr>
        <sz val="8"/>
        <color rgb="FF000000"/>
        <rFont val="Meiryo"/>
        <family val="0"/>
        <charset val="1"/>
      </rPr>
      <t xml:space="preserve">Tier</t>
    </r>
    <r>
      <rPr>
        <sz val="8"/>
        <color rgb="FF000000"/>
        <rFont val="WenQuanYi Zen Hei"/>
        <family val="2"/>
      </rPr>
      <t xml:space="preserve">設計（排出量・開示インパクト</t>
    </r>
    <r>
      <rPr>
        <sz val="8"/>
        <color rgb="FF000000"/>
        <rFont val="Meiryo"/>
        <family val="0"/>
        <charset val="1"/>
      </rPr>
      <t xml:space="preserve">×</t>
    </r>
    <r>
      <rPr>
        <sz val="8"/>
        <color rgb="FF000000"/>
        <rFont val="WenQuanYi Zen Hei"/>
        <family val="2"/>
      </rPr>
      <t xml:space="preserve">システム成熟度</t>
    </r>
    <r>
      <rPr>
        <sz val="8"/>
        <color rgb="FF000000"/>
        <rFont val="Meiryo"/>
        <family val="0"/>
        <charset val="1"/>
      </rPr>
      <t xml:space="preserve">×</t>
    </r>
    <r>
      <rPr>
        <sz val="8"/>
        <color rgb="FF000000"/>
        <rFont val="WenQuanYi Zen Hei"/>
        <family val="2"/>
      </rPr>
      <t xml:space="preserve">データ提出可否の</t>
    </r>
    <r>
      <rPr>
        <sz val="8"/>
        <color rgb="FF000000"/>
        <rFont val="Meiryo"/>
        <family val="0"/>
        <charset val="1"/>
      </rPr>
      <t xml:space="preserve">3</t>
    </r>
    <r>
      <rPr>
        <sz val="8"/>
        <color rgb="FF000000"/>
        <rFont val="WenQuanYi Zen Hei"/>
        <family val="2"/>
      </rPr>
      <t xml:space="preserve">軸）で収集方式（</t>
    </r>
    <r>
      <rPr>
        <sz val="8"/>
        <color rgb="FF000000"/>
        <rFont val="Meiryo"/>
        <family val="0"/>
        <charset val="1"/>
      </rPr>
      <t xml:space="preserve">API/CSV/</t>
    </r>
    <r>
      <rPr>
        <sz val="8"/>
        <color rgb="FF000000"/>
        <rFont val="WenQuanYi Zen Hei"/>
        <family val="2"/>
      </rPr>
      <t xml:space="preserve">手入力）を振分け。入力</t>
    </r>
    <r>
      <rPr>
        <sz val="8"/>
        <color rgb="FF000000"/>
        <rFont val="Meiryo"/>
        <family val="0"/>
        <charset val="1"/>
      </rPr>
      <t xml:space="preserve">UX</t>
    </r>
    <r>
      <rPr>
        <sz val="8"/>
        <color rgb="FF000000"/>
        <rFont val="WenQuanYi Zen Hei"/>
        <family val="2"/>
      </rPr>
      <t xml:space="preserve">簡素化・督促自動化。担当＝山野</t>
    </r>
    <r>
      <rPr>
        <sz val="8"/>
        <color rgb="FF000000"/>
        <rFont val="Meiryo"/>
        <family val="0"/>
        <charset val="1"/>
      </rPr>
      <t xml:space="preserve">+</t>
    </r>
    <r>
      <rPr>
        <sz val="8"/>
        <color rgb="FF000000"/>
        <rFont val="WenQuanYi Zen Hei"/>
        <family val="2"/>
      </rPr>
      <t xml:space="preserve">平野。基本スコープ内。</t>
    </r>
  </si>
  <si>
    <r>
      <rPr>
        <b val="true"/>
        <sz val="8"/>
        <color rgb="FF000000"/>
        <rFont val="WenQuanYi Zen Hei"/>
        <family val="2"/>
      </rPr>
      <t xml:space="preserve">③ロジック実装
</t>
    </r>
    <r>
      <rPr>
        <b val="true"/>
        <sz val="8"/>
        <color rgb="FF000000"/>
        <rFont val="Meiryo"/>
        <family val="0"/>
        <charset val="1"/>
      </rPr>
      <t xml:space="preserve">(</t>
    </r>
    <r>
      <rPr>
        <b val="true"/>
        <sz val="8"/>
        <color rgb="FF000000"/>
        <rFont val="WenQuanYi Zen Hei"/>
        <family val="2"/>
      </rPr>
      <t xml:space="preserve">使える情報への変換</t>
    </r>
    <r>
      <rPr>
        <b val="true"/>
        <sz val="8"/>
        <color rgb="FF000000"/>
        <rFont val="Meiryo"/>
        <family val="0"/>
        <charset val="1"/>
      </rPr>
      <t xml:space="preserve">)</t>
    </r>
  </si>
  <si>
    <r>
      <rPr>
        <sz val="8"/>
        <color rgb="FF000000"/>
        <rFont val="Meiryo"/>
        <family val="0"/>
        <charset val="1"/>
      </rPr>
      <t xml:space="preserve">L1</t>
    </r>
    <r>
      <rPr>
        <sz val="8"/>
        <color rgb="FF000000"/>
        <rFont val="WenQuanYi Zen Hei"/>
        <family val="2"/>
      </rPr>
      <t xml:space="preserve">：システム要件定義における基本方針に基づき整理（基本方針止まり）。</t>
    </r>
  </si>
  <si>
    <r>
      <rPr>
        <sz val="8"/>
        <color rgb="FF000000"/>
        <rFont val="Meiryo"/>
        <family val="0"/>
        <charset val="1"/>
      </rPr>
      <t xml:space="preserve">L3</t>
    </r>
    <r>
      <rPr>
        <sz val="8"/>
        <color rgb="FF000000"/>
        <rFont val="WenQuanYi Zen Hei"/>
        <family val="2"/>
      </rPr>
      <t xml:space="preserve">：外部基準確認→未定義領域特定→統一ルール定義→妥当性確認の</t>
    </r>
    <r>
      <rPr>
        <sz val="8"/>
        <color rgb="FF000000"/>
        <rFont val="Meiryo"/>
        <family val="0"/>
        <charset val="1"/>
      </rPr>
      <t xml:space="preserve">4</t>
    </r>
    <r>
      <rPr>
        <sz val="8"/>
        <color rgb="FF000000"/>
        <rFont val="WenQuanYi Zen Hei"/>
        <family val="2"/>
      </rPr>
      <t xml:space="preserve">ステップ＋移行条件確定（適用時期・遡及範囲・開示影響）まで具体化。</t>
    </r>
    <r>
      <rPr>
        <sz val="8"/>
        <color rgb="FF000000"/>
        <rFont val="Meiryo"/>
        <family val="0"/>
        <charset val="1"/>
      </rPr>
      <t xml:space="preserve">3</t>
    </r>
    <r>
      <rPr>
        <sz val="8"/>
        <color rgb="FF000000"/>
        <rFont val="WenQuanYi Zen Hei"/>
        <family val="2"/>
      </rPr>
      <t xml:space="preserve">社中最も具体的。基本スコープ内。</t>
    </r>
  </si>
  <si>
    <r>
      <rPr>
        <sz val="8"/>
        <color rgb="FF000000"/>
        <rFont val="Meiryo"/>
        <family val="0"/>
        <charset val="1"/>
      </rPr>
      <t xml:space="preserve">L0</t>
    </r>
    <r>
      <rPr>
        <sz val="8"/>
        <color rgb="FF000000"/>
        <rFont val="WenQuanYi Zen Hei"/>
        <family val="2"/>
      </rPr>
      <t xml:space="preserve">〜</t>
    </r>
    <r>
      <rPr>
        <sz val="8"/>
        <color rgb="FF000000"/>
        <rFont val="Meiryo"/>
        <family val="0"/>
        <charset val="1"/>
      </rPr>
      <t xml:space="preserve">L1</t>
    </r>
    <r>
      <rPr>
        <sz val="8"/>
        <color rgb="FF000000"/>
        <rFont val="WenQuanYi Zen Hei"/>
        <family val="2"/>
      </rPr>
      <t xml:space="preserve">：「事前に</t>
    </r>
    <r>
      <rPr>
        <sz val="8"/>
        <color rgb="FF000000"/>
        <rFont val="Meiryo"/>
        <family val="0"/>
        <charset val="1"/>
      </rPr>
      <t xml:space="preserve">LION</t>
    </r>
    <r>
      <rPr>
        <sz val="8"/>
        <color rgb="FF000000"/>
        <rFont val="WenQuanYi Zen Hei"/>
        <family val="2"/>
      </rPr>
      <t xml:space="preserve">様にて策定済み想定」と前提化。</t>
    </r>
    <r>
      <rPr>
        <sz val="8"/>
        <color rgb="FF000000"/>
        <rFont val="Meiryo"/>
        <family val="0"/>
        <charset val="1"/>
      </rPr>
      <t xml:space="preserve">Excel/</t>
    </r>
    <r>
      <rPr>
        <sz val="8"/>
        <color rgb="FF000000"/>
        <rFont val="WenQuanYi Zen Hei"/>
        <family val="2"/>
      </rPr>
      <t xml:space="preserve">ロジック資産の仕分け（残す</t>
    </r>
    <r>
      <rPr>
        <sz val="8"/>
        <color rgb="FF000000"/>
        <rFont val="Meiryo"/>
        <family val="0"/>
        <charset val="1"/>
      </rPr>
      <t xml:space="preserve">/</t>
    </r>
    <r>
      <rPr>
        <sz val="8"/>
        <color rgb="FF000000"/>
        <rFont val="WenQuanYi Zen Hei"/>
        <family val="2"/>
      </rPr>
      <t xml:space="preserve">移植</t>
    </r>
    <r>
      <rPr>
        <sz val="8"/>
        <color rgb="FF000000"/>
        <rFont val="Meiryo"/>
        <family val="0"/>
        <charset val="1"/>
      </rPr>
      <t xml:space="preserve">/</t>
    </r>
    <r>
      <rPr>
        <sz val="8"/>
        <color rgb="FF000000"/>
        <rFont val="WenQuanYi Zen Hei"/>
        <family val="2"/>
      </rPr>
      <t xml:space="preserve">作り直す</t>
    </r>
    <r>
      <rPr>
        <sz val="8"/>
        <color rgb="FF000000"/>
        <rFont val="Meiryo"/>
        <family val="0"/>
        <charset val="1"/>
      </rPr>
      <t xml:space="preserve">/</t>
    </r>
    <r>
      <rPr>
        <sz val="8"/>
        <color rgb="FF000000"/>
        <rFont val="WenQuanYi Zen Hei"/>
        <family val="2"/>
      </rPr>
      <t xml:space="preserve">捨てる、</t>
    </r>
    <r>
      <rPr>
        <sz val="8"/>
        <color rgb="FF000000"/>
        <rFont val="Meiryo"/>
        <family val="0"/>
        <charset val="1"/>
      </rPr>
      <t xml:space="preserve">#1</t>
    </r>
    <r>
      <rPr>
        <sz val="8"/>
        <color rgb="FF000000"/>
        <rFont val="WenQuanYi Zen Hei"/>
        <family val="2"/>
      </rPr>
      <t xml:space="preserve">）のみ基本スコープ内で対応。移行計画の要否検討に限定。</t>
    </r>
  </si>
  <si>
    <r>
      <rPr>
        <b val="true"/>
        <sz val="8"/>
        <color rgb="FF000000"/>
        <rFont val="WenQuanYi Zen Hei"/>
        <family val="2"/>
      </rPr>
      <t xml:space="preserve">④内部統制と承認フロー
</t>
    </r>
    <r>
      <rPr>
        <b val="true"/>
        <sz val="8"/>
        <color rgb="FF000000"/>
        <rFont val="Meiryo"/>
        <family val="0"/>
        <charset val="1"/>
      </rPr>
      <t xml:space="preserve">(</t>
    </r>
    <r>
      <rPr>
        <b val="true"/>
        <sz val="8"/>
        <color rgb="FF000000"/>
        <rFont val="WenQuanYi Zen Hei"/>
        <family val="2"/>
      </rPr>
      <t xml:space="preserve">確からしさの担保</t>
    </r>
    <r>
      <rPr>
        <b val="true"/>
        <sz val="8"/>
        <color rgb="FF000000"/>
        <rFont val="Meiryo"/>
        <family val="0"/>
        <charset val="1"/>
      </rPr>
      <t xml:space="preserve">)</t>
    </r>
  </si>
  <si>
    <r>
      <rPr>
        <sz val="8"/>
        <color rgb="FF000000"/>
        <rFont val="Meiryo"/>
        <family val="0"/>
        <charset val="1"/>
      </rPr>
      <t xml:space="preserve">L2</t>
    </r>
    <r>
      <rPr>
        <sz val="8"/>
        <color rgb="FF000000"/>
        <rFont val="WenQuanYi Zen Hei"/>
        <family val="2"/>
      </rPr>
      <t xml:space="preserve">：前提パラメータ台帳・変更管理方針書等を初期仮説として提示。版管理ルールの標準実装方針を明示。</t>
    </r>
  </si>
  <si>
    <r>
      <rPr>
        <sz val="8"/>
        <color rgb="FF000000"/>
        <rFont val="Meiryo"/>
        <family val="0"/>
        <charset val="1"/>
      </rPr>
      <t xml:space="preserve">L3</t>
    </r>
    <r>
      <rPr>
        <sz val="8"/>
        <color rgb="FF000000"/>
        <rFont val="WenQuanYi Zen Hei"/>
        <family val="2"/>
      </rPr>
      <t xml:space="preserve">：統制要素</t>
    </r>
    <r>
      <rPr>
        <sz val="8"/>
        <color rgb="FF000000"/>
        <rFont val="Meiryo"/>
        <family val="0"/>
        <charset val="1"/>
      </rPr>
      <t xml:space="preserve">×</t>
    </r>
    <r>
      <rPr>
        <sz val="8"/>
        <color rgb="FF000000"/>
        <rFont val="WenQuanYi Zen Hei"/>
        <family val="2"/>
      </rPr>
      <t xml:space="preserve">確認領域マトリクスで、責任所在・データ出所・完全性・妥当性の</t>
    </r>
    <r>
      <rPr>
        <sz val="8"/>
        <color rgb="FF000000"/>
        <rFont val="Meiryo"/>
        <family val="0"/>
        <charset val="1"/>
      </rPr>
      <t xml:space="preserve">4</t>
    </r>
    <r>
      <rPr>
        <sz val="8"/>
        <color rgb="FF000000"/>
        <rFont val="WenQuanYi Zen Hei"/>
        <family val="2"/>
      </rPr>
      <t xml:space="preserve">軸で「人の確認」と「システムの保持・追跡」の役割分担まで設計。担当＝須貝</t>
    </r>
    <r>
      <rPr>
        <sz val="8"/>
        <color rgb="FF000000"/>
        <rFont val="Meiryo"/>
        <family val="0"/>
        <charset val="1"/>
      </rPr>
      <t xml:space="preserve">+</t>
    </r>
    <r>
      <rPr>
        <sz val="8"/>
        <color rgb="FF000000"/>
        <rFont val="WenQuanYi Zen Hei"/>
        <family val="2"/>
      </rPr>
      <t xml:space="preserve">アドバイザー陣。基本スコープ内。</t>
    </r>
  </si>
  <si>
    <r>
      <rPr>
        <sz val="8"/>
        <color rgb="FF000000"/>
        <rFont val="Meiryo"/>
        <family val="0"/>
        <charset val="1"/>
      </rPr>
      <t xml:space="preserve">L1</t>
    </r>
    <r>
      <rPr>
        <sz val="8"/>
        <color rgb="FF000000"/>
        <rFont val="WenQuanYi Zen Hei"/>
        <family val="2"/>
      </rPr>
      <t xml:space="preserve">〜</t>
    </r>
    <r>
      <rPr>
        <sz val="8"/>
        <color rgb="FF000000"/>
        <rFont val="Meiryo"/>
        <family val="0"/>
        <charset val="1"/>
      </rPr>
      <t xml:space="preserve">L2</t>
    </r>
    <r>
      <rPr>
        <sz val="8"/>
        <color rgb="FF000000"/>
        <rFont val="WenQuanYi Zen Hei"/>
        <family val="2"/>
      </rPr>
      <t xml:space="preserve">（本体分離）：証憑統制要件の事前協議のみ基本スコープに残置（</t>
    </r>
    <r>
      <rPr>
        <sz val="8"/>
        <color rgb="FF000000"/>
        <rFont val="Meiryo"/>
        <family val="0"/>
        <charset val="1"/>
      </rPr>
      <t xml:space="preserve">#12</t>
    </r>
    <r>
      <rPr>
        <sz val="8"/>
        <color rgb="FF000000"/>
        <rFont val="WenQuanYi Zen Hei"/>
        <family val="2"/>
      </rPr>
      <t xml:space="preserve">の一部、担当＝張本・公認会計士）。キーコントロール定義・内部統制設計方針書の本格整理は</t>
    </r>
    <r>
      <rPr>
        <sz val="8"/>
        <color rgb="FF000000"/>
        <rFont val="Meiryo"/>
        <family val="0"/>
        <charset val="1"/>
      </rPr>
      <t xml:space="preserve">Option B(2,200</t>
    </r>
    <r>
      <rPr>
        <sz val="8"/>
        <color rgb="FF000000"/>
        <rFont val="WenQuanYi Zen Hei"/>
        <family val="2"/>
      </rPr>
      <t xml:space="preserve">万円</t>
    </r>
    <r>
      <rPr>
        <sz val="8"/>
        <color rgb="FF000000"/>
        <rFont val="Meiryo"/>
        <family val="0"/>
        <charset val="1"/>
      </rPr>
      <t xml:space="preserve">)</t>
    </r>
    <r>
      <rPr>
        <sz val="8"/>
        <color rgb="FF000000"/>
        <rFont val="WenQuanYi Zen Hei"/>
        <family val="2"/>
      </rPr>
      <t xml:space="preserve">。</t>
    </r>
  </si>
  <si>
    <r>
      <rPr>
        <b val="true"/>
        <sz val="8"/>
        <color rgb="FF000000"/>
        <rFont val="WenQuanYi Zen Hei"/>
        <family val="2"/>
      </rPr>
      <t xml:space="preserve">⑤データの可視化と活用
</t>
    </r>
    <r>
      <rPr>
        <b val="true"/>
        <sz val="8"/>
        <color rgb="FF000000"/>
        <rFont val="Meiryo"/>
        <family val="0"/>
        <charset val="1"/>
      </rPr>
      <t xml:space="preserve">(</t>
    </r>
    <r>
      <rPr>
        <b val="true"/>
        <sz val="8"/>
        <color rgb="FF000000"/>
        <rFont val="WenQuanYi Zen Hei"/>
        <family val="2"/>
      </rPr>
      <t xml:space="preserve">意思決定への昇華</t>
    </r>
    <r>
      <rPr>
        <b val="true"/>
        <sz val="8"/>
        <color rgb="FF000000"/>
        <rFont val="Meiryo"/>
        <family val="0"/>
        <charset val="1"/>
      </rPr>
      <t xml:space="preserve">)</t>
    </r>
  </si>
  <si>
    <r>
      <rPr>
        <sz val="8"/>
        <color rgb="FF000000"/>
        <rFont val="Meiryo"/>
        <family val="0"/>
        <charset val="1"/>
      </rPr>
      <t xml:space="preserve">L1</t>
    </r>
    <r>
      <rPr>
        <sz val="8"/>
        <color rgb="FF000000"/>
        <rFont val="WenQuanYi Zen Hei"/>
        <family val="2"/>
      </rPr>
      <t xml:space="preserve">：初期仮説</t>
    </r>
    <r>
      <rPr>
        <sz val="8"/>
        <color rgb="FF000000"/>
        <rFont val="Meiryo"/>
        <family val="0"/>
        <charset val="1"/>
      </rPr>
      <t xml:space="preserve">3</t>
    </r>
    <r>
      <rPr>
        <sz val="8"/>
        <color rgb="FF000000"/>
        <rFont val="WenQuanYi Zen Hei"/>
        <family val="2"/>
      </rPr>
      <t xml:space="preserve">点（意思決定起点の設計／可変前提の設計／守攻一体化）を提示し、貴社と議論したい論点</t>
    </r>
    <r>
      <rPr>
        <sz val="8"/>
        <color rgb="FF000000"/>
        <rFont val="Meiryo"/>
        <family val="0"/>
        <charset val="1"/>
      </rPr>
      <t xml:space="preserve">4</t>
    </r>
    <r>
      <rPr>
        <sz val="8"/>
        <color rgb="FF000000"/>
        <rFont val="WenQuanYi Zen Hei"/>
        <family val="2"/>
      </rPr>
      <t xml:space="preserve">つを列挙。担当＝中村</t>
    </r>
    <r>
      <rPr>
        <sz val="8"/>
        <color rgb="FF000000"/>
        <rFont val="Meiryo"/>
        <family val="0"/>
        <charset val="1"/>
      </rPr>
      <t xml:space="preserve">(SME)</t>
    </r>
    <r>
      <rPr>
        <sz val="8"/>
        <color rgb="FF000000"/>
        <rFont val="WenQuanYi Zen Hei"/>
        <family val="2"/>
      </rPr>
      <t xml:space="preserve">。基本スコープ内。</t>
    </r>
  </si>
  <si>
    <r>
      <rPr>
        <sz val="8"/>
        <color rgb="FF000000"/>
        <rFont val="Meiryo"/>
        <family val="0"/>
        <charset val="1"/>
      </rPr>
      <t xml:space="preserve">L0</t>
    </r>
    <r>
      <rPr>
        <sz val="8"/>
        <color rgb="FF000000"/>
        <rFont val="WenQuanYi Zen Hei"/>
        <family val="2"/>
      </rPr>
      <t xml:space="preserve">：</t>
    </r>
    <r>
      <rPr>
        <sz val="8"/>
        <color rgb="FF000000"/>
        <rFont val="Meiryo"/>
        <family val="0"/>
        <charset val="1"/>
      </rPr>
      <t xml:space="preserve">Step2</t>
    </r>
    <r>
      <rPr>
        <sz val="8"/>
        <color rgb="FF000000"/>
        <rFont val="WenQuanYi Zen Hei"/>
        <family val="2"/>
      </rPr>
      <t xml:space="preserve">以降に後ろ倒し。本フェーズは</t>
    </r>
    <r>
      <rPr>
        <sz val="8"/>
        <color rgb="FF000000"/>
        <rFont val="Meiryo"/>
        <family val="0"/>
        <charset val="1"/>
      </rPr>
      <t xml:space="preserve">Step1(</t>
    </r>
    <r>
      <rPr>
        <sz val="8"/>
        <color rgb="FF000000"/>
        <rFont val="WenQuanYi Zen Hei"/>
        <family val="2"/>
      </rPr>
      <t xml:space="preserve">法定開示</t>
    </r>
    <r>
      <rPr>
        <sz val="8"/>
        <color rgb="FF000000"/>
        <rFont val="Meiryo"/>
        <family val="0"/>
        <charset val="1"/>
      </rPr>
      <t xml:space="preserve">)</t>
    </r>
    <r>
      <rPr>
        <sz val="8"/>
        <color rgb="FF000000"/>
        <rFont val="WenQuanYi Zen Hei"/>
        <family val="2"/>
      </rPr>
      <t xml:space="preserve">を優先し明示的にスコープ外。</t>
    </r>
  </si>
  <si>
    <r>
      <rPr>
        <sz val="8"/>
        <color rgb="FF000000"/>
        <rFont val="Meiryo"/>
        <family val="0"/>
        <charset val="1"/>
      </rPr>
      <t xml:space="preserve">L3</t>
    </r>
    <r>
      <rPr>
        <sz val="8"/>
        <color rgb="FF000000"/>
        <rFont val="WenQuanYi Zen Hei"/>
        <family val="2"/>
      </rPr>
      <t xml:space="preserve">：攻めユースケース</t>
    </r>
    <r>
      <rPr>
        <sz val="8"/>
        <color rgb="FF000000"/>
        <rFont val="Meiryo"/>
        <family val="0"/>
        <charset val="1"/>
      </rPr>
      <t xml:space="preserve">6</t>
    </r>
    <r>
      <rPr>
        <sz val="8"/>
        <color rgb="FF000000"/>
        <rFont val="WenQuanYi Zen Hei"/>
        <family val="2"/>
      </rPr>
      <t xml:space="preserve">候補を効果</t>
    </r>
    <r>
      <rPr>
        <sz val="8"/>
        <color rgb="FF000000"/>
        <rFont val="Meiryo"/>
        <family val="0"/>
        <charset val="1"/>
      </rPr>
      <t xml:space="preserve">×</t>
    </r>
    <r>
      <rPr>
        <sz val="8"/>
        <color rgb="FF000000"/>
        <rFont val="WenQuanYi Zen Hei"/>
        <family val="2"/>
      </rPr>
      <t xml:space="preserve">実現性で事前評価し、</t>
    </r>
    <r>
      <rPr>
        <sz val="8"/>
        <color rgb="FF000000"/>
        <rFont val="Meiryo"/>
        <family val="0"/>
        <charset val="1"/>
      </rPr>
      <t xml:space="preserve">2</t>
    </r>
    <r>
      <rPr>
        <sz val="8"/>
        <color rgb="FF000000"/>
        <rFont val="WenQuanYi Zen Hei"/>
        <family val="2"/>
      </rPr>
      <t xml:space="preserve">〜</t>
    </r>
    <r>
      <rPr>
        <sz val="8"/>
        <color rgb="FF000000"/>
        <rFont val="Meiryo"/>
        <family val="0"/>
        <charset val="1"/>
      </rPr>
      <t xml:space="preserve">3</t>
    </r>
    <r>
      <rPr>
        <sz val="8"/>
        <color rgb="FF000000"/>
        <rFont val="WenQuanYi Zen Hei"/>
        <family val="2"/>
      </rPr>
      <t xml:space="preserve">件へ絞り込み・基盤要件化まで実施済み。</t>
    </r>
    <r>
      <rPr>
        <sz val="8"/>
        <color rgb="FF000000"/>
        <rFont val="Meiryo"/>
        <family val="0"/>
        <charset val="1"/>
      </rPr>
      <t xml:space="preserve">3</t>
    </r>
    <r>
      <rPr>
        <sz val="8"/>
        <color rgb="FF000000"/>
        <rFont val="WenQuanYi Zen Hei"/>
        <family val="2"/>
      </rPr>
      <t xml:space="preserve">社中最も具体的。担当＝今野</t>
    </r>
    <r>
      <rPr>
        <sz val="8"/>
        <color rgb="FF000000"/>
        <rFont val="Meiryo"/>
        <family val="0"/>
        <charset val="1"/>
      </rPr>
      <t xml:space="preserve">(P</t>
    </r>
    <r>
      <rPr>
        <sz val="8"/>
        <color rgb="FF000000"/>
        <rFont val="WenQuanYi Zen Hei"/>
        <family val="2"/>
      </rPr>
      <t xml:space="preserve">・企業価値戦略</t>
    </r>
    <r>
      <rPr>
        <sz val="8"/>
        <color rgb="FF000000"/>
        <rFont val="Meiryo"/>
        <family val="0"/>
        <charset val="1"/>
      </rPr>
      <t xml:space="preserve">)</t>
    </r>
    <r>
      <rPr>
        <sz val="8"/>
        <color rgb="FF000000"/>
        <rFont val="WenQuanYi Zen Hei"/>
        <family val="2"/>
      </rPr>
      <t xml:space="preserve">。基本スコープ内</t>
    </r>
    <r>
      <rPr>
        <sz val="8"/>
        <color rgb="FF000000"/>
        <rFont val="Meiryo"/>
        <family val="0"/>
        <charset val="1"/>
      </rPr>
      <t xml:space="preserve">(#2)</t>
    </r>
    <r>
      <rPr>
        <sz val="8"/>
        <color rgb="FF000000"/>
        <rFont val="WenQuanYi Zen Hei"/>
        <family val="2"/>
      </rPr>
      <t xml:space="preserve">。</t>
    </r>
  </si>
  <si>
    <r>
      <rPr>
        <sz val="9"/>
        <color rgb="FF000000"/>
        <rFont val="WenQuanYi Zen Hei"/>
        <family val="2"/>
      </rPr>
      <t xml:space="preserve">【難所別に見た各社の得意・不得意（層</t>
    </r>
    <r>
      <rPr>
        <sz val="9"/>
        <color rgb="FF000000"/>
        <rFont val="Meiryo"/>
        <family val="0"/>
        <charset val="1"/>
      </rPr>
      <t xml:space="preserve">1×</t>
    </r>
    <r>
      <rPr>
        <sz val="9"/>
        <color rgb="FF000000"/>
        <rFont val="WenQuanYi Zen Hei"/>
        <family val="2"/>
      </rPr>
      <t xml:space="preserve">層</t>
    </r>
    <r>
      <rPr>
        <sz val="9"/>
        <color rgb="FF000000"/>
        <rFont val="Meiryo"/>
        <family val="0"/>
        <charset val="1"/>
      </rPr>
      <t xml:space="preserve">3</t>
    </r>
    <r>
      <rPr>
        <sz val="9"/>
        <color rgb="FF000000"/>
        <rFont val="WenQuanYi Zen Hei"/>
        <family val="2"/>
      </rPr>
      <t xml:space="preserve">の総合）】各社の「深さ」は難所ごとに大きく異なり、総花的に優れている会社はない。</t>
    </r>
    <r>
      <rPr>
        <sz val="9"/>
        <color rgb="FF000000"/>
        <rFont val="Meiryo"/>
        <family val="0"/>
        <charset val="1"/>
      </rPr>
      <t xml:space="preserve">PwC</t>
    </r>
    <r>
      <rPr>
        <sz val="9"/>
        <color rgb="FF000000"/>
        <rFont val="WenQuanYi Zen Hei"/>
        <family val="2"/>
      </rPr>
      <t xml:space="preserve">は②データ収集・③ロジック実装（業務プロセスの詳細設計）で</t>
    </r>
    <r>
      <rPr>
        <sz val="9"/>
        <color rgb="FF000000"/>
        <rFont val="Meiryo"/>
        <family val="0"/>
        <charset val="1"/>
      </rPr>
      <t xml:space="preserve">3</t>
    </r>
    <r>
      <rPr>
        <sz val="9"/>
        <color rgb="FF000000"/>
        <rFont val="WenQuanYi Zen Hei"/>
        <family val="2"/>
      </rPr>
      <t xml:space="preserve">社中最も具体的だが、①ルール策定・⑤可視化活用（貴社の意思決定・戦略に関わる部分）は前提化・後ろ倒しにしており、「守りの実務設計は強いが、貴社の戦略判断そのものへの関与は薄い」という特徴を持つ。アビームは①</t>
    </r>
    <r>
      <rPr>
        <sz val="9"/>
        <color rgb="FF000000"/>
        <rFont val="Meiryo"/>
        <family val="0"/>
        <charset val="1"/>
      </rPr>
      <t xml:space="preserve">(</t>
    </r>
    <r>
      <rPr>
        <sz val="9"/>
        <color rgb="FF000000"/>
        <rFont val="WenQuanYi Zen Hei"/>
        <family val="2"/>
      </rPr>
      <t xml:space="preserve">方法論</t>
    </r>
    <r>
      <rPr>
        <sz val="9"/>
        <color rgb="FF000000"/>
        <rFont val="Meiryo"/>
        <family val="0"/>
        <charset val="1"/>
      </rPr>
      <t xml:space="preserve">)⑤(</t>
    </r>
    <r>
      <rPr>
        <sz val="9"/>
        <color rgb="FF000000"/>
        <rFont val="WenQuanYi Zen Hei"/>
        <family val="2"/>
      </rPr>
      <t xml:space="preserve">攻め</t>
    </r>
    <r>
      <rPr>
        <sz val="9"/>
        <color rgb="FF000000"/>
        <rFont val="Meiryo"/>
        <family val="0"/>
        <charset val="1"/>
      </rPr>
      <t xml:space="preserve">)</t>
    </r>
    <r>
      <rPr>
        <sz val="9"/>
        <color rgb="FF000000"/>
        <rFont val="WenQuanYi Zen Hei"/>
        <family val="2"/>
      </rPr>
      <t xml:space="preserve">で最も具体的だが、④</t>
    </r>
    <r>
      <rPr>
        <sz val="9"/>
        <color rgb="FF000000"/>
        <rFont val="Meiryo"/>
        <family val="0"/>
        <charset val="1"/>
      </rPr>
      <t xml:space="preserve">(</t>
    </r>
    <r>
      <rPr>
        <sz val="9"/>
        <color rgb="FF000000"/>
        <rFont val="WenQuanYi Zen Hei"/>
        <family val="2"/>
      </rPr>
      <t xml:space="preserve">内部統制の本格整理</t>
    </r>
    <r>
      <rPr>
        <sz val="9"/>
        <color rgb="FF000000"/>
        <rFont val="Meiryo"/>
        <family val="0"/>
        <charset val="1"/>
      </rPr>
      <t xml:space="preserve">)</t>
    </r>
    <r>
      <rPr>
        <sz val="9"/>
        <color rgb="FF000000"/>
        <rFont val="WenQuanYi Zen Hei"/>
        <family val="2"/>
      </rPr>
      <t xml:space="preserve">をオプションに切り出しており、「戦略判断への関与・攻めの設計は強いが、守りの実務を支える統制文書化は基本スコープから薄くなっている」という特徴を持つ。ライズは全難所で</t>
    </r>
    <r>
      <rPr>
        <sz val="9"/>
        <color rgb="FF000000"/>
        <rFont val="Meiryo"/>
        <family val="0"/>
        <charset val="1"/>
      </rPr>
      <t xml:space="preserve">L1</t>
    </r>
    <r>
      <rPr>
        <sz val="9"/>
        <color rgb="FF000000"/>
        <rFont val="WenQuanYi Zen Hei"/>
        <family val="2"/>
      </rPr>
      <t xml:space="preserve">〜</t>
    </r>
    <r>
      <rPr>
        <sz val="9"/>
        <color rgb="FF000000"/>
        <rFont val="Meiryo"/>
        <family val="0"/>
        <charset val="1"/>
      </rPr>
      <t xml:space="preserve">L2</t>
    </r>
    <r>
      <rPr>
        <sz val="9"/>
        <color rgb="FF000000"/>
        <rFont val="WenQuanYi Zen Hei"/>
        <family val="2"/>
      </rPr>
      <t xml:space="preserve">（初期仮説・基本方針の提示）に留まり、詳細化は次工程（設計フェーズ）に委ねる設計——価格の安さと整合するが、</t>
    </r>
    <r>
      <rPr>
        <sz val="9"/>
        <color rgb="FF000000"/>
        <rFont val="Meiryo"/>
        <family val="0"/>
        <charset val="1"/>
      </rPr>
      <t xml:space="preserve">11</t>
    </r>
    <r>
      <rPr>
        <sz val="9"/>
        <color rgb="FF000000"/>
        <rFont val="WenQuanYi Zen Hei"/>
        <family val="2"/>
      </rPr>
      <t xml:space="preserve">月末までにベンダーが精度良く見積れる詳細度に達しているかは、成果物ごとに質疑で確認が必要。</t>
    </r>
  </si>
  <si>
    <t xml:space="preserve">価格ギャップの診断と解消リクエスト</t>
  </si>
  <si>
    <r>
      <rPr>
        <sz val="9"/>
        <color rgb="FF000000"/>
        <rFont val="WenQuanYi Zen Hei"/>
        <family val="2"/>
      </rPr>
      <t xml:space="preserve">【方法】最も価格効率が良い</t>
    </r>
    <r>
      <rPr>
        <sz val="9"/>
        <color rgb="FF000000"/>
        <rFont val="Meiryo"/>
        <family val="0"/>
        <charset val="1"/>
      </rPr>
      <t xml:space="preserve">PwC</t>
    </r>
    <r>
      <rPr>
        <sz val="9"/>
        <color rgb="FF000000"/>
        <rFont val="WenQuanYi Zen Hei"/>
        <family val="2"/>
      </rPr>
      <t xml:space="preserve">案②（</t>
    </r>
    <r>
      <rPr>
        <sz val="9"/>
        <color rgb="FF000000"/>
        <rFont val="Meiryo"/>
        <family val="0"/>
        <charset val="1"/>
      </rPr>
      <t xml:space="preserve">20.60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点・月）を基準レートとし、各社の品質</t>
    </r>
    <r>
      <rPr>
        <sz val="9"/>
        <color rgb="FF000000"/>
        <rFont val="Meiryo"/>
        <family val="0"/>
        <charset val="1"/>
      </rPr>
      <t xml:space="preserve">(Q</t>
    </r>
    <r>
      <rPr>
        <sz val="9"/>
        <color rgb="FF000000"/>
        <rFont val="WenQuanYi Zen Hei"/>
        <family val="2"/>
      </rPr>
      <t xml:space="preserve">得点</t>
    </r>
    <r>
      <rPr>
        <sz val="9"/>
        <color rgb="FF000000"/>
        <rFont val="Meiryo"/>
        <family val="0"/>
        <charset val="1"/>
      </rPr>
      <t xml:space="preserve">)×</t>
    </r>
    <r>
      <rPr>
        <sz val="9"/>
        <color rgb="FF000000"/>
        <rFont val="WenQuanYi Zen Hei"/>
        <family val="2"/>
      </rPr>
      <t xml:space="preserve">期間から「フェア価格」を逆算。実際の価格との差＝ギャップとし、ギャップの正体（①スコープ不足／②効率性の高さ＝むしろ深さを追加すべき／③単価・体制の超過）によって解消リクエストを変える。</t>
    </r>
  </si>
  <si>
    <r>
      <rPr>
        <b val="true"/>
        <sz val="9"/>
        <color rgb="FFFFFFFF"/>
        <rFont val="Meiryo"/>
        <family val="0"/>
        <charset val="1"/>
      </rPr>
      <t xml:space="preserve">B</t>
    </r>
    <r>
      <rPr>
        <b val="true"/>
        <sz val="9"/>
        <color rgb="FFFFFFFF"/>
        <rFont val="WenQuanYi Zen Hei"/>
        <family val="2"/>
      </rPr>
      <t xml:space="preserve">社：</t>
    </r>
    <r>
      <rPr>
        <b val="true"/>
        <sz val="9"/>
        <color rgb="FFFFFFFF"/>
        <rFont val="Meiryo"/>
        <family val="0"/>
        <charset val="1"/>
      </rPr>
      <t xml:space="preserve">PwC(</t>
    </r>
    <r>
      <rPr>
        <b val="true"/>
        <sz val="9"/>
        <color rgb="FFFFFFFF"/>
        <rFont val="WenQuanYi Zen Hei"/>
        <family val="2"/>
      </rPr>
      <t xml:space="preserve">案②</t>
    </r>
    <r>
      <rPr>
        <b val="true"/>
        <sz val="9"/>
        <color rgb="FFFFFFFF"/>
        <rFont val="Meiryo"/>
        <family val="0"/>
        <charset val="1"/>
      </rPr>
      <t xml:space="preserve">)</t>
    </r>
  </si>
  <si>
    <r>
      <rPr>
        <b val="true"/>
        <sz val="9"/>
        <color rgb="FFFFFFFF"/>
        <rFont val="Meiryo"/>
        <family val="0"/>
        <charset val="1"/>
      </rPr>
      <t xml:space="preserve">C</t>
    </r>
    <r>
      <rPr>
        <b val="true"/>
        <sz val="9"/>
        <color rgb="FFFFFFFF"/>
        <rFont val="WenQuanYi Zen Hei"/>
        <family val="2"/>
      </rPr>
      <t xml:space="preserve">社：アビーム</t>
    </r>
    <r>
      <rPr>
        <b val="true"/>
        <sz val="9"/>
        <color rgb="FFFFFFFF"/>
        <rFont val="Meiryo"/>
        <family val="0"/>
        <charset val="1"/>
      </rPr>
      <t xml:space="preserve">(</t>
    </r>
    <r>
      <rPr>
        <b val="true"/>
        <sz val="9"/>
        <color rgb="FFFFFFFF"/>
        <rFont val="WenQuanYi Zen Hei"/>
        <family val="2"/>
      </rPr>
      <t xml:space="preserve">基本</t>
    </r>
    <r>
      <rPr>
        <b val="true"/>
        <sz val="9"/>
        <color rgb="FFFFFFFF"/>
        <rFont val="Meiryo"/>
        <family val="0"/>
        <charset val="1"/>
      </rPr>
      <t xml:space="preserve">)</t>
    </r>
  </si>
  <si>
    <t xml:space="preserve">実際の価格／期間</t>
  </si>
  <si>
    <r>
      <rPr>
        <sz val="9"/>
        <color rgb="FF000000"/>
        <rFont val="Meiryo"/>
        <family val="0"/>
        <charset val="1"/>
      </rPr>
      <t xml:space="preserve">2,400</t>
    </r>
    <r>
      <rPr>
        <sz val="9"/>
        <color rgb="FF000000"/>
        <rFont val="WenQuanYi Zen Hei"/>
        <family val="2"/>
      </rPr>
      <t xml:space="preserve">万円／</t>
    </r>
    <r>
      <rPr>
        <sz val="9"/>
        <color rgb="FF000000"/>
        <rFont val="Meiryo"/>
        <family val="0"/>
        <charset val="1"/>
      </rPr>
      <t xml:space="preserve">3.0</t>
    </r>
    <r>
      <rPr>
        <sz val="9"/>
        <color rgb="FF000000"/>
        <rFont val="WenQuanYi Zen Hei"/>
        <family val="2"/>
      </rPr>
      <t xml:space="preserve">ヶ月</t>
    </r>
  </si>
  <si>
    <r>
      <rPr>
        <sz val="9"/>
        <color rgb="FF000000"/>
        <rFont val="Meiryo"/>
        <family val="0"/>
        <charset val="1"/>
      </rPr>
      <t xml:space="preserve">2,700</t>
    </r>
    <r>
      <rPr>
        <sz val="9"/>
        <color rgb="FF000000"/>
        <rFont val="WenQuanYi Zen Hei"/>
        <family val="2"/>
      </rPr>
      <t xml:space="preserve">万円／</t>
    </r>
    <r>
      <rPr>
        <sz val="9"/>
        <color rgb="FF000000"/>
        <rFont val="Meiryo"/>
        <family val="0"/>
        <charset val="1"/>
      </rPr>
      <t xml:space="preserve">3.6</t>
    </r>
    <r>
      <rPr>
        <sz val="9"/>
        <color rgb="FF000000"/>
        <rFont val="WenQuanYi Zen Hei"/>
        <family val="2"/>
      </rPr>
      <t xml:space="preserve">ヶ月</t>
    </r>
  </si>
  <si>
    <r>
      <rPr>
        <sz val="9"/>
        <color rgb="FF000000"/>
        <rFont val="Meiryo"/>
        <family val="0"/>
        <charset val="1"/>
      </rPr>
      <t xml:space="preserve">5,300</t>
    </r>
    <r>
      <rPr>
        <sz val="9"/>
        <color rgb="FF000000"/>
        <rFont val="WenQuanYi Zen Hei"/>
        <family val="2"/>
      </rPr>
      <t xml:space="preserve">万円／</t>
    </r>
    <r>
      <rPr>
        <sz val="9"/>
        <color rgb="FF000000"/>
        <rFont val="Meiryo"/>
        <family val="0"/>
        <charset val="1"/>
      </rPr>
      <t xml:space="preserve">3.9</t>
    </r>
    <r>
      <rPr>
        <sz val="9"/>
        <color rgb="FF000000"/>
        <rFont val="WenQuanYi Zen Hei"/>
        <family val="2"/>
      </rPr>
      <t xml:space="preserve">ヶ月</t>
    </r>
  </si>
  <si>
    <r>
      <rPr>
        <b val="true"/>
        <sz val="9"/>
        <color rgb="FF000000"/>
        <rFont val="WenQuanYi Zen Hei"/>
        <family val="2"/>
      </rPr>
      <t xml:space="preserve">実質月額レート（万円</t>
    </r>
    <r>
      <rPr>
        <b val="true"/>
        <sz val="9"/>
        <color rgb="FF000000"/>
        <rFont val="Meiryo"/>
        <family val="0"/>
        <charset val="1"/>
      </rPr>
      <t xml:space="preserve">/</t>
    </r>
    <r>
      <rPr>
        <b val="true"/>
        <sz val="9"/>
        <color rgb="FF000000"/>
        <rFont val="WenQuanYi Zen Hei"/>
        <family val="2"/>
      </rPr>
      <t xml:space="preserve">点・月）</t>
    </r>
  </si>
  <si>
    <r>
      <rPr>
        <sz val="9"/>
        <color rgb="FF000000"/>
        <rFont val="Meiryo"/>
        <family val="0"/>
        <charset val="1"/>
      </rPr>
      <t xml:space="preserve">27.40</t>
    </r>
    <r>
      <rPr>
        <sz val="9"/>
        <color rgb="FF000000"/>
        <rFont val="WenQuanYi Zen Hei"/>
        <family val="2"/>
      </rPr>
      <t xml:space="preserve">（基準の</t>
    </r>
    <r>
      <rPr>
        <sz val="9"/>
        <color rgb="FF000000"/>
        <rFont val="Meiryo"/>
        <family val="0"/>
        <charset val="1"/>
      </rPr>
      <t xml:space="preserve">1.33</t>
    </r>
    <r>
      <rPr>
        <sz val="9"/>
        <color rgb="FF000000"/>
        <rFont val="WenQuanYi Zen Hei"/>
        <family val="2"/>
      </rPr>
      <t xml:space="preserve">倍）</t>
    </r>
  </si>
  <si>
    <r>
      <rPr>
        <sz val="9"/>
        <color rgb="FF000000"/>
        <rFont val="Meiryo"/>
        <family val="0"/>
        <charset val="1"/>
      </rPr>
      <t xml:space="preserve">20.60</t>
    </r>
    <r>
      <rPr>
        <sz val="9"/>
        <color rgb="FF000000"/>
        <rFont val="WenQuanYi Zen Hei"/>
        <family val="2"/>
      </rPr>
      <t xml:space="preserve">（基準）</t>
    </r>
  </si>
  <si>
    <r>
      <rPr>
        <sz val="9"/>
        <color rgb="FF000000"/>
        <rFont val="Meiryo"/>
        <family val="0"/>
        <charset val="1"/>
      </rPr>
      <t xml:space="preserve">29.04</t>
    </r>
    <r>
      <rPr>
        <sz val="9"/>
        <color rgb="FF000000"/>
        <rFont val="WenQuanYi Zen Hei"/>
        <family val="2"/>
      </rPr>
      <t xml:space="preserve">（基準の</t>
    </r>
    <r>
      <rPr>
        <sz val="9"/>
        <color rgb="FF000000"/>
        <rFont val="Meiryo"/>
        <family val="0"/>
        <charset val="1"/>
      </rPr>
      <t xml:space="preserve">1.41</t>
    </r>
    <r>
      <rPr>
        <sz val="9"/>
        <color rgb="FF000000"/>
        <rFont val="WenQuanYi Zen Hei"/>
        <family val="2"/>
      </rPr>
      <t xml:space="preserve">倍）</t>
    </r>
  </si>
  <si>
    <t xml:space="preserve">品質・期間調整後フェア価格</t>
  </si>
  <si>
    <r>
      <rPr>
        <sz val="9"/>
        <color rgb="FF000000"/>
        <rFont val="Meiryo"/>
        <family val="0"/>
        <charset val="1"/>
      </rPr>
      <t xml:space="preserve">1,805</t>
    </r>
    <r>
      <rPr>
        <sz val="9"/>
        <color rgb="FF000000"/>
        <rFont val="WenQuanYi Zen Hei"/>
        <family val="2"/>
      </rPr>
      <t xml:space="preserve">万円</t>
    </r>
  </si>
  <si>
    <r>
      <rPr>
        <sz val="9"/>
        <color rgb="FF000000"/>
        <rFont val="Meiryo"/>
        <family val="0"/>
        <charset val="1"/>
      </rPr>
      <t xml:space="preserve">2,700</t>
    </r>
    <r>
      <rPr>
        <sz val="9"/>
        <color rgb="FF000000"/>
        <rFont val="WenQuanYi Zen Hei"/>
        <family val="2"/>
      </rPr>
      <t xml:space="preserve">万円（基準そのもの）</t>
    </r>
  </si>
  <si>
    <r>
      <rPr>
        <sz val="9"/>
        <color rgb="FF000000"/>
        <rFont val="Meiryo"/>
        <family val="0"/>
        <charset val="1"/>
      </rPr>
      <t xml:space="preserve">3,761</t>
    </r>
    <r>
      <rPr>
        <sz val="9"/>
        <color rgb="FF000000"/>
        <rFont val="WenQuanYi Zen Hei"/>
        <family val="2"/>
      </rPr>
      <t xml:space="preserve">万円</t>
    </r>
  </si>
  <si>
    <t xml:space="preserve">ギャップ（実際−フェア）</t>
  </si>
  <si>
    <r>
      <rPr>
        <sz val="9"/>
        <color rgb="FF000000"/>
        <rFont val="WenQuanYi Zen Hei"/>
        <family val="2"/>
      </rPr>
      <t xml:space="preserve">＋</t>
    </r>
    <r>
      <rPr>
        <sz val="9"/>
        <color rgb="FF000000"/>
        <rFont val="Meiryo"/>
        <family val="0"/>
        <charset val="1"/>
      </rPr>
      <t xml:space="preserve">595</t>
    </r>
    <r>
      <rPr>
        <sz val="9"/>
        <color rgb="FF000000"/>
        <rFont val="WenQuanYi Zen Hei"/>
        <family val="2"/>
      </rPr>
      <t xml:space="preserve">万円（</t>
    </r>
    <r>
      <rPr>
        <sz val="9"/>
        <color rgb="FF000000"/>
        <rFont val="Meiryo"/>
        <family val="0"/>
        <charset val="1"/>
      </rPr>
      <t xml:space="preserve">+33%</t>
    </r>
    <r>
      <rPr>
        <sz val="9"/>
        <color rgb="FF000000"/>
        <rFont val="WenQuanYi Zen Hei"/>
        <family val="2"/>
      </rPr>
      <t xml:space="preserve">）</t>
    </r>
  </si>
  <si>
    <r>
      <rPr>
        <sz val="9"/>
        <color rgb="FF000000"/>
        <rFont val="Meiryo"/>
        <family val="0"/>
        <charset val="1"/>
      </rPr>
      <t xml:space="preserve">±0</t>
    </r>
    <r>
      <rPr>
        <sz val="9"/>
        <color rgb="FF000000"/>
        <rFont val="WenQuanYi Zen Hei"/>
        <family val="2"/>
      </rPr>
      <t xml:space="preserve">円</t>
    </r>
  </si>
  <si>
    <r>
      <rPr>
        <sz val="9"/>
        <color rgb="FF000000"/>
        <rFont val="WenQuanYi Zen Hei"/>
        <family val="2"/>
      </rPr>
      <t xml:space="preserve">＋</t>
    </r>
    <r>
      <rPr>
        <sz val="9"/>
        <color rgb="FF000000"/>
        <rFont val="Meiryo"/>
        <family val="0"/>
        <charset val="1"/>
      </rPr>
      <t xml:space="preserve">1,539</t>
    </r>
    <r>
      <rPr>
        <sz val="9"/>
        <color rgb="FF000000"/>
        <rFont val="WenQuanYi Zen Hei"/>
        <family val="2"/>
      </rPr>
      <t xml:space="preserve">万円（</t>
    </r>
    <r>
      <rPr>
        <sz val="9"/>
        <color rgb="FF000000"/>
        <rFont val="Meiryo"/>
        <family val="0"/>
        <charset val="1"/>
      </rPr>
      <t xml:space="preserve">+41%</t>
    </r>
    <r>
      <rPr>
        <sz val="9"/>
        <color rgb="FF000000"/>
        <rFont val="WenQuanYi Zen Hei"/>
        <family val="2"/>
      </rPr>
      <t xml:space="preserve">）</t>
    </r>
  </si>
  <si>
    <t xml:space="preserve">ギャップの正体</t>
  </si>
  <si>
    <r>
      <rPr>
        <sz val="9"/>
        <color rgb="FF000000"/>
        <rFont val="WenQuanYi Zen Hei"/>
        <family val="2"/>
      </rPr>
      <t xml:space="preserve">①スコープ不足の疑い（全難所</t>
    </r>
    <r>
      <rPr>
        <sz val="9"/>
        <color rgb="FF000000"/>
        <rFont val="Meiryo"/>
        <family val="0"/>
        <charset val="1"/>
      </rPr>
      <t xml:space="preserve">L1</t>
    </r>
    <r>
      <rPr>
        <sz val="9"/>
        <color rgb="FF000000"/>
        <rFont val="WenQuanYi Zen Hei"/>
        <family val="2"/>
      </rPr>
      <t xml:space="preserve">〜</t>
    </r>
    <r>
      <rPr>
        <sz val="9"/>
        <color rgb="FF000000"/>
        <rFont val="Meiryo"/>
        <family val="0"/>
        <charset val="1"/>
      </rPr>
      <t xml:space="preserve">L2</t>
    </r>
    <r>
      <rPr>
        <sz val="9"/>
        <color rgb="FF000000"/>
        <rFont val="WenQuanYi Zen Hei"/>
        <family val="2"/>
      </rPr>
      <t xml:space="preserve">、独立アーキテクチャ図等が欠落）。安さの一部は幅の狭さで説明できるが、埋めると価格は上がる方向</t>
    </r>
  </si>
  <si>
    <t xml:space="preserve">②効率性が高い（このレートで①⑤の深さを追加すれば最良の選択肢になる）。ギャップは「価格を下げる」ではなく「深さを追加する」方向</t>
  </si>
  <si>
    <r>
      <rPr>
        <sz val="9"/>
        <color rgb="FF000000"/>
        <rFont val="WenQuanYi Zen Hei"/>
        <family val="2"/>
      </rPr>
      <t xml:space="preserve">③単価・体制の超過（成果物カバレッジは他社と概ね相殺的＝スコープでは説明できない）。</t>
    </r>
    <r>
      <rPr>
        <sz val="9"/>
        <color rgb="FF000000"/>
        <rFont val="Meiryo"/>
        <family val="0"/>
        <charset val="1"/>
      </rPr>
      <t xml:space="preserve">P/D/SM</t>
    </r>
    <r>
      <rPr>
        <sz val="9"/>
        <color rgb="FF000000"/>
        <rFont val="WenQuanYi Zen Hei"/>
        <family val="2"/>
      </rPr>
      <t xml:space="preserve">級アドバイザーを基本スコープにも配置する体制構造が主因と推定</t>
    </r>
  </si>
  <si>
    <t xml:space="preserve">【会社別の解消リクエスト（具体的な依頼文）】</t>
  </si>
  <si>
    <r>
      <rPr>
        <b val="true"/>
        <sz val="9"/>
        <color rgb="FF000000"/>
        <rFont val="Meiryo"/>
        <family val="0"/>
        <charset val="1"/>
      </rPr>
      <t xml:space="preserve">A</t>
    </r>
    <r>
      <rPr>
        <b val="true"/>
        <sz val="9"/>
        <color rgb="FF000000"/>
        <rFont val="WenQuanYi Zen Hei"/>
        <family val="2"/>
      </rPr>
      <t xml:space="preserve">社：ライズ
スコープ完成のための増額見積りを要求する</t>
    </r>
  </si>
  <si>
    <r>
      <rPr>
        <sz val="9"/>
        <color rgb="FF000000"/>
        <rFont val="WenQuanYi Zen Hei"/>
        <family val="2"/>
      </rPr>
      <t xml:space="preserve">①独立したシステム構成図・データ要件定義書・ユースケース優先順位付けを追加した場合の増額見積りを提出させる（★</t>
    </r>
    <r>
      <rPr>
        <sz val="9"/>
        <color rgb="FF000000"/>
        <rFont val="Meiryo"/>
        <family val="0"/>
        <charset val="1"/>
      </rPr>
      <t xml:space="preserve">A7</t>
    </r>
    <r>
      <rPr>
        <sz val="9"/>
        <color rgb="FF000000"/>
        <rFont val="WenQuanYi Zen Hei"/>
        <family val="2"/>
      </rPr>
      <t xml:space="preserve">）。完成後の想定価格は</t>
    </r>
    <r>
      <rPr>
        <sz val="9"/>
        <color rgb="FF000000"/>
        <rFont val="Meiryo"/>
        <family val="0"/>
        <charset val="1"/>
      </rPr>
      <t xml:space="preserve">2,700</t>
    </r>
    <r>
      <rPr>
        <sz val="9"/>
        <color rgb="FF000000"/>
        <rFont val="WenQuanYi Zen Hei"/>
        <family val="2"/>
      </rPr>
      <t xml:space="preserve">〜</t>
    </r>
    <r>
      <rPr>
        <sz val="9"/>
        <color rgb="FF000000"/>
        <rFont val="Meiryo"/>
        <family val="0"/>
        <charset val="1"/>
      </rPr>
      <t xml:space="preserve">2,900</t>
    </r>
    <r>
      <rPr>
        <sz val="9"/>
        <color rgb="FF000000"/>
        <rFont val="WenQuanYi Zen Hei"/>
        <family val="2"/>
      </rPr>
      <t xml:space="preserve">万円程度になると見込まれ、これでもなお最安値グループに残る可能性が高い。②</t>
    </r>
    <r>
      <rPr>
        <sz val="9"/>
        <color rgb="FF000000"/>
        <rFont val="Meiryo"/>
        <family val="0"/>
        <charset val="1"/>
      </rPr>
      <t xml:space="preserve">32%</t>
    </r>
    <r>
      <rPr>
        <sz val="9"/>
        <color rgb="FF000000"/>
        <rFont val="WenQuanYi Zen Hei"/>
        <family val="2"/>
      </rPr>
      <t xml:space="preserve">値引きは戦略価格であり、次フェーズ（設計・開発</t>
    </r>
    <r>
      <rPr>
        <sz val="9"/>
        <color rgb="FF000000"/>
        <rFont val="Meiryo"/>
        <family val="0"/>
        <charset val="1"/>
      </rPr>
      <t xml:space="preserve">PMO</t>
    </r>
    <r>
      <rPr>
        <sz val="9"/>
        <color rgb="FF000000"/>
        <rFont val="WenQuanYi Zen Hei"/>
        <family val="2"/>
      </rPr>
      <t xml:space="preserve">）の単価をこの場でロックインさせる（値引きが「入口だけ」でないことの確認）。③このリクエストへの回答（増額の有無・金額）自体が、安さが「効率」か「スコープの手薄さ」かを判別する試験になる。</t>
    </r>
  </si>
  <si>
    <r>
      <rPr>
        <b val="true"/>
        <sz val="9"/>
        <color rgb="FF000000"/>
        <rFont val="Meiryo"/>
        <family val="0"/>
        <charset val="1"/>
      </rPr>
      <t xml:space="preserve">B</t>
    </r>
    <r>
      <rPr>
        <b val="true"/>
        <sz val="9"/>
        <color rgb="FF000000"/>
        <rFont val="WenQuanYi Zen Hei"/>
        <family val="2"/>
      </rPr>
      <t xml:space="preserve">社：</t>
    </r>
    <r>
      <rPr>
        <b val="true"/>
        <sz val="9"/>
        <color rgb="FF000000"/>
        <rFont val="Meiryo"/>
        <family val="0"/>
        <charset val="1"/>
      </rPr>
      <t xml:space="preserve">PwC
</t>
    </r>
    <r>
      <rPr>
        <b val="true"/>
        <sz val="9"/>
        <color rgb="FF000000"/>
        <rFont val="WenQuanYi Zen Hei"/>
        <family val="2"/>
      </rPr>
      <t xml:space="preserve">深さ追加の増分見積りを要求する（最も低リスク・高</t>
    </r>
    <r>
      <rPr>
        <b val="true"/>
        <sz val="9"/>
        <color rgb="FF000000"/>
        <rFont val="Meiryo"/>
        <family val="0"/>
        <charset val="1"/>
      </rPr>
      <t xml:space="preserve">ROI</t>
    </r>
    <r>
      <rPr>
        <b val="true"/>
        <sz val="9"/>
        <color rgb="FF000000"/>
        <rFont val="WenQuanYi Zen Hei"/>
        <family val="2"/>
      </rPr>
      <t xml:space="preserve">な一手）</t>
    </r>
  </si>
  <si>
    <r>
      <rPr>
        <sz val="9"/>
        <color rgb="FF000000"/>
        <rFont val="WenQuanYi Zen Hei"/>
        <family val="2"/>
      </rPr>
      <t xml:space="preserve">①効率性が最も高いため、価格を下げるのではなく、弱点である難所①（能動的なルール策定支援）・難所⑤（可視化・活用の要件化）を</t>
    </r>
    <r>
      <rPr>
        <sz val="9"/>
        <color rgb="FF000000"/>
        <rFont val="Meiryo"/>
        <family val="0"/>
        <charset val="1"/>
      </rPr>
      <t xml:space="preserve">L2</t>
    </r>
    <r>
      <rPr>
        <sz val="9"/>
        <color rgb="FF000000"/>
        <rFont val="WenQuanYi Zen Hei"/>
        <family val="2"/>
      </rPr>
      <t xml:space="preserve">以上まで追加した場合の増分見積りを要求する（★</t>
    </r>
    <r>
      <rPr>
        <sz val="9"/>
        <color rgb="FF000000"/>
        <rFont val="Meiryo"/>
        <family val="0"/>
        <charset val="1"/>
      </rPr>
      <t xml:space="preserve">B8</t>
    </r>
    <r>
      <rPr>
        <sz val="9"/>
        <color rgb="FF000000"/>
        <rFont val="WenQuanYi Zen Hei"/>
        <family val="2"/>
      </rPr>
      <t xml:space="preserve">）。このレートなら増分は数百万円〜</t>
    </r>
    <r>
      <rPr>
        <sz val="9"/>
        <color rgb="FF000000"/>
        <rFont val="Meiryo"/>
        <family val="0"/>
        <charset val="1"/>
      </rPr>
      <t xml:space="preserve">1,000</t>
    </r>
    <r>
      <rPr>
        <sz val="9"/>
        <color rgb="FF000000"/>
        <rFont val="WenQuanYi Zen Hei"/>
        <family val="2"/>
      </rPr>
      <t xml:space="preserve">万円程度に収まる可能性が高く、その場合</t>
    </r>
    <r>
      <rPr>
        <sz val="9"/>
        <color rgb="FF000000"/>
        <rFont val="Meiryo"/>
        <family val="0"/>
        <charset val="1"/>
      </rPr>
      <t xml:space="preserve">PwC</t>
    </r>
    <r>
      <rPr>
        <sz val="9"/>
        <color rgb="FF000000"/>
        <rFont val="WenQuanYi Zen Hei"/>
        <family val="2"/>
      </rPr>
      <t xml:space="preserve">は</t>
    </r>
    <r>
      <rPr>
        <sz val="9"/>
        <color rgb="FF000000"/>
        <rFont val="Meiryo"/>
        <family val="0"/>
        <charset val="1"/>
      </rPr>
      <t xml:space="preserve">3,000</t>
    </r>
    <r>
      <rPr>
        <sz val="9"/>
        <color rgb="FF000000"/>
        <rFont val="WenQuanYi Zen Hei"/>
        <family val="2"/>
      </rPr>
      <t xml:space="preserve">万円台前半で</t>
    </r>
    <r>
      <rPr>
        <sz val="9"/>
        <color rgb="FF000000"/>
        <rFont val="Meiryo"/>
        <family val="0"/>
        <charset val="1"/>
      </rPr>
      <t xml:space="preserve">3</t>
    </r>
    <r>
      <rPr>
        <sz val="9"/>
        <color rgb="FF000000"/>
        <rFont val="WenQuanYi Zen Hei"/>
        <family val="2"/>
      </rPr>
      <t xml:space="preserve">社中最も広く深いスコープを持つ提案に変わる。②案②の「</t>
    </r>
    <r>
      <rPr>
        <sz val="9"/>
        <color rgb="FF000000"/>
        <rFont val="Meiryo"/>
        <family val="0"/>
        <charset val="1"/>
      </rPr>
      <t xml:space="preserve">1-4</t>
    </r>
    <r>
      <rPr>
        <sz val="9"/>
        <color rgb="FF000000"/>
        <rFont val="WenQuanYi Zen Hei"/>
        <family val="2"/>
      </rPr>
      <t xml:space="preserve">業務要件定義書作成」に機能</t>
    </r>
    <r>
      <rPr>
        <sz val="9"/>
        <color rgb="FF000000"/>
        <rFont val="Meiryo"/>
        <family val="0"/>
        <charset val="1"/>
      </rPr>
      <t xml:space="preserve">/</t>
    </r>
    <r>
      <rPr>
        <sz val="9"/>
        <color rgb="FF000000"/>
        <rFont val="WenQuanYi Zen Hei"/>
        <family val="2"/>
      </rPr>
      <t xml:space="preserve">データ</t>
    </r>
    <r>
      <rPr>
        <sz val="9"/>
        <color rgb="FF000000"/>
        <rFont val="Meiryo"/>
        <family val="0"/>
        <charset val="1"/>
      </rPr>
      <t xml:space="preserve">/</t>
    </r>
    <r>
      <rPr>
        <sz val="9"/>
        <color rgb="FF000000"/>
        <rFont val="WenQuanYi Zen Hei"/>
        <family val="2"/>
      </rPr>
      <t xml:space="preserve">システム要件定義書相当が含まれるかを確定させ（★</t>
    </r>
    <r>
      <rPr>
        <sz val="9"/>
        <color rgb="FF000000"/>
        <rFont val="Meiryo"/>
        <family val="0"/>
        <charset val="1"/>
      </rPr>
      <t xml:space="preserve">B6</t>
    </r>
    <r>
      <rPr>
        <sz val="9"/>
        <color rgb="FF000000"/>
        <rFont val="WenQuanYi Zen Hei"/>
        <family val="2"/>
      </rPr>
      <t xml:space="preserve">）、含まれない場合は同時に見積りに追加させる。</t>
    </r>
  </si>
  <si>
    <r>
      <rPr>
        <b val="true"/>
        <sz val="9"/>
        <color rgb="FF000000"/>
        <rFont val="Meiryo"/>
        <family val="0"/>
        <charset val="1"/>
      </rPr>
      <t xml:space="preserve">C</t>
    </r>
    <r>
      <rPr>
        <b val="true"/>
        <sz val="9"/>
        <color rgb="FF000000"/>
        <rFont val="WenQuanYi Zen Hei"/>
        <family val="2"/>
      </rPr>
      <t xml:space="preserve">社：アビーム
単価是正または体制リバランスの二択を提示する</t>
    </r>
  </si>
  <si>
    <r>
      <rPr>
        <sz val="9"/>
        <color rgb="FF000000"/>
        <rFont val="WenQuanYi Zen Hei"/>
        <family val="2"/>
      </rPr>
      <t xml:space="preserve">①ランク別単価</t>
    </r>
    <r>
      <rPr>
        <sz val="9"/>
        <color rgb="FF000000"/>
        <rFont val="Meiryo"/>
        <family val="0"/>
        <charset val="1"/>
      </rPr>
      <t xml:space="preserve">×</t>
    </r>
    <r>
      <rPr>
        <sz val="9"/>
        <color rgb="FF000000"/>
        <rFont val="WenQuanYi Zen Hei"/>
        <family val="2"/>
      </rPr>
      <t xml:space="preserve">人数</t>
    </r>
    <r>
      <rPr>
        <sz val="9"/>
        <color rgb="FF000000"/>
        <rFont val="Meiryo"/>
        <family val="0"/>
        <charset val="1"/>
      </rPr>
      <t xml:space="preserve">×</t>
    </r>
    <r>
      <rPr>
        <sz val="9"/>
        <color rgb="FF000000"/>
        <rFont val="WenQuanYi Zen Hei"/>
        <family val="2"/>
      </rPr>
      <t xml:space="preserve">稼働率の内訳開示（</t>
    </r>
    <r>
      <rPr>
        <sz val="9"/>
        <color rgb="FF000000"/>
        <rFont val="Meiryo"/>
        <family val="0"/>
        <charset val="1"/>
      </rPr>
      <t xml:space="preserve">C1</t>
    </r>
    <r>
      <rPr>
        <sz val="9"/>
        <color rgb="FF000000"/>
        <rFont val="WenQuanYi Zen Hei"/>
        <family val="2"/>
      </rPr>
      <t xml:space="preserve">宿題）を前提に、ギャップ</t>
    </r>
    <r>
      <rPr>
        <sz val="9"/>
        <color rgb="FF000000"/>
        <rFont val="Meiryo"/>
        <family val="0"/>
        <charset val="1"/>
      </rPr>
      <t xml:space="preserve">1,539</t>
    </r>
    <r>
      <rPr>
        <sz val="9"/>
        <color rgb="FF000000"/>
        <rFont val="WenQuanYi Zen Hei"/>
        <family val="2"/>
      </rPr>
      <t xml:space="preserve">万円（</t>
    </r>
    <r>
      <rPr>
        <sz val="9"/>
        <color rgb="FF000000"/>
        <rFont val="Meiryo"/>
        <family val="0"/>
        <charset val="1"/>
      </rPr>
      <t xml:space="preserve">41%</t>
    </r>
    <r>
      <rPr>
        <sz val="9"/>
        <color rgb="FF000000"/>
        <rFont val="WenQuanYi Zen Hei"/>
        <family val="2"/>
      </rPr>
      <t xml:space="preserve">）の原因が単価そのものか、</t>
    </r>
    <r>
      <rPr>
        <sz val="9"/>
        <color rgb="FF000000"/>
        <rFont val="Meiryo"/>
        <family val="0"/>
        <charset val="1"/>
      </rPr>
      <t xml:space="preserve">P/D/SM</t>
    </r>
    <r>
      <rPr>
        <sz val="9"/>
        <color rgb="FF000000"/>
        <rFont val="WenQuanYi Zen Hei"/>
        <family val="2"/>
      </rPr>
      <t xml:space="preserve">級の配置比率かを特定する。②単価是正案：フェア価格</t>
    </r>
    <r>
      <rPr>
        <sz val="9"/>
        <color rgb="FF000000"/>
        <rFont val="Meiryo"/>
        <family val="0"/>
        <charset val="1"/>
      </rPr>
      <t xml:space="preserve">3,761</t>
    </r>
    <r>
      <rPr>
        <sz val="9"/>
        <color rgb="FF000000"/>
        <rFont val="WenQuanYi Zen Hei"/>
        <family val="2"/>
      </rPr>
      <t xml:space="preserve">万円（≒</t>
    </r>
    <r>
      <rPr>
        <sz val="9"/>
        <color rgb="FF000000"/>
        <rFont val="Meiryo"/>
        <family val="0"/>
        <charset val="1"/>
      </rPr>
      <t xml:space="preserve">3,800</t>
    </r>
    <r>
      <rPr>
        <sz val="9"/>
        <color rgb="FF000000"/>
        <rFont val="WenQuanYi Zen Hei"/>
        <family val="2"/>
      </rPr>
      <t xml:space="preserve">万円）を交渉のターゲットとして提示し、その価格でどのタスクを削らずに提供できるか回答させる。③体制リバランス案：単価を維持するなら、</t>
    </r>
    <r>
      <rPr>
        <sz val="9"/>
        <color rgb="FF000000"/>
        <rFont val="Meiryo"/>
        <family val="0"/>
        <charset val="1"/>
      </rPr>
      <t xml:space="preserve">Principal/Director</t>
    </r>
    <r>
      <rPr>
        <sz val="9"/>
        <color rgb="FF000000"/>
        <rFont val="WenQuanYi Zen Hei"/>
        <family val="2"/>
      </rPr>
      <t xml:space="preserve">級の関与比率を下げ、</t>
    </r>
    <r>
      <rPr>
        <sz val="9"/>
        <color rgb="FF000000"/>
        <rFont val="Meiryo"/>
        <family val="0"/>
        <charset val="1"/>
      </rPr>
      <t xml:space="preserve">Manager/Senior Consultant</t>
    </r>
    <r>
      <rPr>
        <sz val="9"/>
        <color rgb="FF000000"/>
        <rFont val="WenQuanYi Zen Hei"/>
        <family val="2"/>
      </rPr>
      <t xml:space="preserve">級の実働比率を上げた体制表の再提出を求める（★</t>
    </r>
    <r>
      <rPr>
        <sz val="9"/>
        <color rgb="FF000000"/>
        <rFont val="Meiryo"/>
        <family val="0"/>
        <charset val="1"/>
      </rPr>
      <t xml:space="preserve">C8</t>
    </r>
    <r>
      <rPr>
        <sz val="9"/>
        <color rgb="FF000000"/>
        <rFont val="WenQuanYi Zen Hei"/>
        <family val="2"/>
      </rPr>
      <t xml:space="preserve">と連動）。④いずれの案でも、</t>
    </r>
    <r>
      <rPr>
        <sz val="9"/>
        <color rgb="FF000000"/>
        <rFont val="Meiryo"/>
        <family val="0"/>
        <charset val="1"/>
      </rPr>
      <t xml:space="preserve">PwC</t>
    </r>
    <r>
      <rPr>
        <sz val="9"/>
        <color rgb="FF000000"/>
        <rFont val="WenQuanYi Zen Hei"/>
        <family val="2"/>
      </rPr>
      <t xml:space="preserve">の</t>
    </r>
    <r>
      <rPr>
        <sz val="9"/>
        <color rgb="FF000000"/>
        <rFont val="Meiryo"/>
        <family val="0"/>
        <charset val="1"/>
      </rPr>
      <t xml:space="preserve">2,700</t>
    </r>
    <r>
      <rPr>
        <sz val="9"/>
        <color rgb="FF000000"/>
        <rFont val="WenQuanYi Zen Hei"/>
        <family val="2"/>
      </rPr>
      <t xml:space="preserve">万円に、アビームの独自</t>
    </r>
    <r>
      <rPr>
        <sz val="9"/>
        <color rgb="FF000000"/>
        <rFont val="Meiryo"/>
        <family val="0"/>
        <charset val="1"/>
      </rPr>
      <t xml:space="preserve">3</t>
    </r>
    <r>
      <rPr>
        <sz val="9"/>
        <color rgb="FF000000"/>
        <rFont val="WenQuanYi Zen Hei"/>
        <family val="2"/>
      </rPr>
      <t xml:space="preserve">点（</t>
    </r>
    <r>
      <rPr>
        <sz val="9"/>
        <color rgb="FF000000"/>
        <rFont val="Meiryo"/>
        <family val="0"/>
        <charset val="1"/>
      </rPr>
      <t xml:space="preserve">2</t>
    </r>
    <r>
      <rPr>
        <sz val="9"/>
        <color rgb="FF000000"/>
        <rFont val="WenQuanYi Zen Hei"/>
        <family val="2"/>
      </rPr>
      <t xml:space="preserve">段階アーキテクチャ・独立データ要件定義書・ユースケース優先順位付け）の増分コストを加算した金額を「参照点」として提示し、それとの差額の説明を求める（★</t>
    </r>
    <r>
      <rPr>
        <sz val="9"/>
        <color rgb="FF000000"/>
        <rFont val="Meiryo"/>
        <family val="0"/>
        <charset val="1"/>
      </rPr>
      <t xml:space="preserve">C7</t>
    </r>
    <r>
      <rPr>
        <sz val="9"/>
        <color rgb="FF000000"/>
        <rFont val="WenQuanYi Zen Hei"/>
        <family val="2"/>
      </rPr>
      <t xml:space="preserve">）。</t>
    </r>
  </si>
  <si>
    <t xml:space="preserve">【推奨する交渉の順序】</t>
  </si>
  <si>
    <r>
      <rPr>
        <sz val="9"/>
        <color rgb="FF000000"/>
        <rFont val="Meiryo"/>
        <family val="0"/>
        <charset val="1"/>
      </rPr>
      <t xml:space="preserve">Step1</t>
    </r>
    <r>
      <rPr>
        <sz val="9"/>
        <color rgb="FF000000"/>
        <rFont val="WenQuanYi Zen Hei"/>
        <family val="2"/>
      </rPr>
      <t xml:space="preserve">（最優先・低リスク）</t>
    </r>
    <r>
      <rPr>
        <sz val="9"/>
        <color rgb="FF000000"/>
        <rFont val="Meiryo"/>
        <family val="0"/>
        <charset val="1"/>
      </rPr>
      <t xml:space="preserve">: PwC</t>
    </r>
    <r>
      <rPr>
        <sz val="9"/>
        <color rgb="FF000000"/>
        <rFont val="WenQuanYi Zen Hei"/>
        <family val="2"/>
      </rPr>
      <t xml:space="preserve">に①⑤深さ追加の増分見積りを依頼する。ダウンサイドがほぼなく、成功すれば最良の選択肢が生まれる。</t>
    </r>
  </si>
  <si>
    <r>
      <rPr>
        <sz val="9"/>
        <color rgb="FF000000"/>
        <rFont val="Meiryo"/>
        <family val="0"/>
        <charset val="1"/>
      </rPr>
      <t xml:space="preserve">Step2</t>
    </r>
    <r>
      <rPr>
        <sz val="9"/>
        <color rgb="FF000000"/>
        <rFont val="WenQuanYi Zen Hei"/>
        <family val="2"/>
      </rPr>
      <t xml:space="preserve">（並行）</t>
    </r>
    <r>
      <rPr>
        <sz val="9"/>
        <color rgb="FF000000"/>
        <rFont val="Meiryo"/>
        <family val="0"/>
        <charset val="1"/>
      </rPr>
      <t xml:space="preserve">: </t>
    </r>
    <r>
      <rPr>
        <sz val="9"/>
        <color rgb="FF000000"/>
        <rFont val="WenQuanYi Zen Hei"/>
        <family val="2"/>
      </rPr>
      <t xml:space="preserve">アビームにランク別内訳の開示を依頼し、フェア価格</t>
    </r>
    <r>
      <rPr>
        <sz val="9"/>
        <color rgb="FF000000"/>
        <rFont val="Meiryo"/>
        <family val="0"/>
        <charset val="1"/>
      </rPr>
      <t xml:space="preserve">3,800</t>
    </r>
    <r>
      <rPr>
        <sz val="9"/>
        <color rgb="FF000000"/>
        <rFont val="WenQuanYi Zen Hei"/>
        <family val="2"/>
      </rPr>
      <t xml:space="preserve">万円を参照点として提示、単価是正か体制リバランスかの回答を求める。</t>
    </r>
  </si>
  <si>
    <r>
      <rPr>
        <sz val="9"/>
        <color rgb="FF000000"/>
        <rFont val="Meiryo"/>
        <family val="0"/>
        <charset val="1"/>
      </rPr>
      <t xml:space="preserve">Step3</t>
    </r>
    <r>
      <rPr>
        <sz val="9"/>
        <color rgb="FF000000"/>
        <rFont val="WenQuanYi Zen Hei"/>
        <family val="2"/>
      </rPr>
      <t xml:space="preserve">（並行）</t>
    </r>
    <r>
      <rPr>
        <sz val="9"/>
        <color rgb="FF000000"/>
        <rFont val="Meiryo"/>
        <family val="0"/>
        <charset val="1"/>
      </rPr>
      <t xml:space="preserve">: </t>
    </r>
    <r>
      <rPr>
        <sz val="9"/>
        <color rgb="FF000000"/>
        <rFont val="WenQuanYi Zen Hei"/>
        <family val="2"/>
      </rPr>
      <t xml:space="preserve">ライズにスコープ完成の増額見積りを依頼し、次フェーズ単価のロックインを求める。</t>
    </r>
  </si>
  <si>
    <r>
      <rPr>
        <sz val="9"/>
        <color rgb="FF000000"/>
        <rFont val="Meiryo"/>
        <family val="0"/>
        <charset val="1"/>
      </rPr>
      <t xml:space="preserve">Step4: 3</t>
    </r>
    <r>
      <rPr>
        <sz val="9"/>
        <color rgb="FF000000"/>
        <rFont val="WenQuanYi Zen Hei"/>
        <family val="2"/>
      </rPr>
      <t xml:space="preserve">社の再見積りが揃った時点で、成果物カバレッジ・難所別深さ・単価内訳のすべてが同じ基準スコープで比較できる状態になり、最終選定に進む。</t>
    </r>
  </si>
</sst>
</file>

<file path=xl/styles.xml><?xml version="1.0" encoding="utf-8"?>
<styleSheet xmlns="http://schemas.openxmlformats.org/spreadsheetml/2006/main">
  <numFmts count="3">
    <numFmt numFmtId="164" formatCode="General"/>
    <numFmt numFmtId="165" formatCode="0.0"/>
    <numFmt numFmtId="166" formatCode="General"/>
  </numFmts>
  <fonts count="27">
    <font>
      <sz val="11"/>
      <color theme="1"/>
      <name val="Calibri"/>
      <family val="2"/>
      <charset val="1"/>
    </font>
    <font>
      <sz val="10"/>
      <name val="Arial"/>
      <family val="0"/>
    </font>
    <font>
      <sz val="10"/>
      <name val="Arial"/>
      <family val="0"/>
    </font>
    <font>
      <sz val="10"/>
      <name val="Arial"/>
      <family val="0"/>
    </font>
    <font>
      <b val="true"/>
      <sz val="14"/>
      <color rgb="FFFFFFFF"/>
      <name val="WenQuanYi Zen Hei"/>
      <family val="2"/>
    </font>
    <font>
      <b val="true"/>
      <sz val="14"/>
      <color rgb="FFFFFFFF"/>
      <name val="Meiryo"/>
      <family val="0"/>
      <charset val="1"/>
    </font>
    <font>
      <sz val="9"/>
      <color rgb="FF000000"/>
      <name val="WenQuanYi Zen Hei"/>
      <family val="2"/>
    </font>
    <font>
      <sz val="9"/>
      <color rgb="FF000000"/>
      <name val="Meiryo"/>
      <family val="0"/>
      <charset val="1"/>
    </font>
    <font>
      <b val="true"/>
      <sz val="10"/>
      <color rgb="FFFFFFFF"/>
      <name val="Meiryo"/>
      <family val="0"/>
      <charset val="1"/>
    </font>
    <font>
      <b val="true"/>
      <sz val="10"/>
      <color rgb="FFFFFFFF"/>
      <name val="WenQuanYi Zen Hei"/>
      <family val="2"/>
    </font>
    <font>
      <b val="true"/>
      <sz val="9"/>
      <color rgb="FFFFFFFF"/>
      <name val="WenQuanYi Zen Hei"/>
      <family val="2"/>
    </font>
    <font>
      <b val="true"/>
      <sz val="10"/>
      <color rgb="FF000000"/>
      <name val="Meiryo"/>
      <family val="0"/>
      <charset val="1"/>
    </font>
    <font>
      <b val="true"/>
      <sz val="10"/>
      <color rgb="FF000000"/>
      <name val="WenQuanYi Zen Hei"/>
      <family val="2"/>
    </font>
    <font>
      <b val="true"/>
      <sz val="9"/>
      <color rgb="FF000000"/>
      <name val="WenQuanYi Zen Hei"/>
      <family val="2"/>
    </font>
    <font>
      <sz val="8"/>
      <color rgb="FF000000"/>
      <name val="WenQuanYi Zen Hei"/>
      <family val="2"/>
    </font>
    <font>
      <sz val="8"/>
      <color rgb="FF000000"/>
      <name val="Meiryo"/>
      <family val="0"/>
      <charset val="1"/>
    </font>
    <font>
      <sz val="10"/>
      <color rgb="FF000000"/>
      <name val="Meiryo"/>
      <family val="0"/>
      <charset val="1"/>
    </font>
    <font>
      <b val="true"/>
      <sz val="11"/>
      <color rgb="FF000000"/>
      <name val="Meiryo"/>
      <family val="0"/>
      <charset val="1"/>
    </font>
    <font>
      <b val="true"/>
      <sz val="9"/>
      <color rgb="FF000000"/>
      <name val="Meiryo"/>
      <family val="0"/>
      <charset val="1"/>
    </font>
    <font>
      <b val="true"/>
      <sz val="11"/>
      <color rgb="FF000000"/>
      <name val="WenQuanYi Zen Hei"/>
      <family val="2"/>
    </font>
    <font>
      <b val="true"/>
      <sz val="12"/>
      <color rgb="FF000000"/>
      <name val="Meiryo"/>
      <family val="0"/>
      <charset val="1"/>
    </font>
    <font>
      <b val="true"/>
      <sz val="13"/>
      <color rgb="FFFFFFFF"/>
      <name val="WenQuanYi Zen Hei"/>
      <family val="2"/>
    </font>
    <font>
      <sz val="10"/>
      <color rgb="FF000000"/>
      <name val="WenQuanYi Zen Hei"/>
      <family val="2"/>
    </font>
    <font>
      <b val="true"/>
      <sz val="13"/>
      <color rgb="FFFFFFFF"/>
      <name val="Meiryo"/>
      <family val="0"/>
      <charset val="1"/>
    </font>
    <font>
      <b val="true"/>
      <sz val="9"/>
      <color rgb="FFFFFFFF"/>
      <name val="Meiryo"/>
      <family val="0"/>
      <charset val="1"/>
    </font>
    <font>
      <b val="true"/>
      <sz val="8"/>
      <color rgb="FF000000"/>
      <name val="WenQuanYi Zen Hei"/>
      <family val="2"/>
    </font>
    <font>
      <b val="true"/>
      <sz val="8"/>
      <color rgb="FF000000"/>
      <name val="Meiryo"/>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EDEDED"/>
      </patternFill>
    </fill>
    <fill>
      <patternFill patternType="solid">
        <fgColor rgb="FFD6DCE5"/>
        <bgColor rgb="FFEDEDED"/>
      </patternFill>
    </fill>
    <fill>
      <patternFill patternType="solid">
        <fgColor rgb="FFEDEDED"/>
        <bgColor rgb="FFFFF2CC"/>
      </patternFill>
    </fill>
    <fill>
      <patternFill patternType="solid">
        <fgColor rgb="FFFFE699"/>
        <bgColor rgb="FFFFF2CC"/>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6" fillId="3"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5" fontId="16" fillId="0"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7" fillId="3" borderId="1" xfId="0" applyFont="true" applyBorder="true" applyAlignment="true" applyProtection="false">
      <alignment horizontal="center" vertical="center" textRotation="0" wrapText="tru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6" fontId="11" fillId="5" borderId="1" xfId="0" applyFont="true" applyBorder="true" applyAlignment="true" applyProtection="false">
      <alignment horizontal="center" vertical="center" textRotation="0" wrapText="tru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5" fontId="11" fillId="5" borderId="1" xfId="0" applyFont="true" applyBorder="true" applyAlignment="true" applyProtection="false">
      <alignment horizontal="center" vertical="center" textRotation="0" wrapText="true" indent="0" shrinkToFit="false"/>
      <protection locked="true" hidden="false"/>
    </xf>
    <xf numFmtId="164" fontId="19" fillId="6" borderId="1" xfId="0" applyFont="true" applyBorder="true" applyAlignment="false" applyProtection="false">
      <alignment horizontal="general" vertical="bottom" textRotation="0" wrapText="fals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5" fontId="20" fillId="6" borderId="1" xfId="0" applyFont="true" applyBorder="true" applyAlignment="true" applyProtection="false">
      <alignment horizontal="center" vertical="center" textRotation="0" wrapText="true" indent="0" shrinkToFit="false"/>
      <protection locked="true" hidden="false"/>
    </xf>
    <xf numFmtId="164" fontId="21" fillId="2" borderId="0" xfId="0" applyFont="tru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9" fillId="4" borderId="0" xfId="0" applyFont="true" applyBorder="true" applyAlignment="fals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center" vertical="center" textRotation="0" wrapText="true" indent="0" shrinkToFit="false"/>
      <protection locked="true" hidden="false"/>
    </xf>
    <xf numFmtId="164" fontId="24" fillId="2" borderId="0" xfId="0" applyFont="true" applyBorder="false" applyAlignment="true" applyProtection="false">
      <alignment horizontal="center" vertical="center" textRotation="0" wrapText="true" indent="0" shrinkToFit="false"/>
      <protection locked="true" hidden="false"/>
    </xf>
    <xf numFmtId="164" fontId="25" fillId="0" borderId="1" xfId="0" applyFont="true" applyBorder="true" applyAlignment="true" applyProtection="false">
      <alignment horizontal="general" vertical="top" textRotation="0" wrapText="true" indent="0" shrinkToFit="false"/>
      <protection locked="true" hidden="false"/>
    </xf>
    <xf numFmtId="164" fontId="2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9" fillId="2" borderId="0" xfId="0" applyFont="true" applyBorder="fals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19" fillId="0" borderId="0"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D6DCE5"/>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FCC99"/>
      <rgbColor rgb="FF3366FF"/>
      <rgbColor rgb="FF33CCCC"/>
      <rgbColor rgb="FF99CC00"/>
      <rgbColor rgb="FFFFCC00"/>
      <rgbColor rgb="FFFF9900"/>
      <rgbColor rgb="FFFF6600"/>
      <rgbColor rgb="FF666699"/>
      <rgbColor rgb="FF999999"/>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7"/>
    <col collapsed="false" customWidth="true" hidden="false" outlineLevel="0" max="3" min="3" style="0" width="26"/>
    <col collapsed="false" customWidth="true" hidden="false" outlineLevel="0" max="5" min="4" style="0" width="6"/>
    <col collapsed="false" customWidth="true" hidden="false" outlineLevel="0" max="6" min="6" style="0" width="6.5"/>
    <col collapsed="false" customWidth="true" hidden="false" outlineLevel="0" max="7" min="7" style="0" width="46"/>
    <col collapsed="false" customWidth="true" hidden="false" outlineLevel="0" max="8" min="8" style="0" width="6"/>
    <col collapsed="false" customWidth="true" hidden="false" outlineLevel="0" max="9" min="9" style="0" width="6.5"/>
    <col collapsed="false" customWidth="true" hidden="false" outlineLevel="0" max="10" min="10" style="0" width="46"/>
    <col collapsed="false" customWidth="true" hidden="false" outlineLevel="0" max="11" min="11" style="0" width="6"/>
    <col collapsed="false" customWidth="true" hidden="false" outlineLevel="0" max="12" min="12" style="0" width="6.5"/>
    <col collapsed="false" customWidth="true" hidden="false" outlineLevel="0" max="13" min="13" style="0" width="46"/>
  </cols>
  <sheetData>
    <row r="1" customFormat="false" ht="24" hidden="false" customHeight="true" outlineLevel="0" collapsed="false">
      <c r="A1" s="1" t="s">
        <v>0</v>
      </c>
      <c r="B1" s="1"/>
      <c r="C1" s="1"/>
      <c r="D1" s="1"/>
      <c r="E1" s="1"/>
      <c r="F1" s="1"/>
      <c r="G1" s="1"/>
      <c r="H1" s="1"/>
      <c r="I1" s="1"/>
      <c r="J1" s="1"/>
      <c r="K1" s="1"/>
      <c r="L1" s="1"/>
      <c r="M1" s="1"/>
    </row>
    <row r="2" customFormat="false" ht="39.75" hidden="false" customHeight="true" outlineLevel="0" collapsed="false">
      <c r="A2" s="2" t="s">
        <v>1</v>
      </c>
      <c r="B2" s="2"/>
      <c r="C2" s="2"/>
      <c r="D2" s="2"/>
      <c r="E2" s="2"/>
      <c r="F2" s="2"/>
      <c r="G2" s="2"/>
      <c r="H2" s="2"/>
      <c r="I2" s="2"/>
      <c r="J2" s="2"/>
      <c r="K2" s="2"/>
      <c r="L2" s="2"/>
      <c r="M2" s="2"/>
    </row>
    <row r="3" customFormat="false" ht="15" hidden="false" customHeight="true" outlineLevel="0" collapsed="false">
      <c r="A3" s="3" t="s">
        <v>2</v>
      </c>
      <c r="B3" s="4" t="s">
        <v>3</v>
      </c>
      <c r="C3" s="4" t="s">
        <v>4</v>
      </c>
      <c r="D3" s="4" t="s">
        <v>5</v>
      </c>
      <c r="E3" s="3" t="s">
        <v>6</v>
      </c>
      <c r="F3" s="3"/>
      <c r="G3" s="3"/>
      <c r="H3" s="3" t="s">
        <v>7</v>
      </c>
      <c r="I3" s="3"/>
      <c r="J3" s="3"/>
      <c r="K3" s="3" t="s">
        <v>8</v>
      </c>
      <c r="L3" s="3"/>
      <c r="M3" s="3"/>
    </row>
    <row r="4" customFormat="false" ht="15" hidden="false" customHeight="false" outlineLevel="0" collapsed="false">
      <c r="A4" s="3"/>
      <c r="B4" s="3"/>
      <c r="C4" s="3"/>
      <c r="D4" s="3"/>
      <c r="E4" s="5" t="s">
        <v>9</v>
      </c>
      <c r="F4" s="5" t="s">
        <v>10</v>
      </c>
      <c r="G4" s="5" t="s">
        <v>11</v>
      </c>
      <c r="H4" s="5" t="s">
        <v>9</v>
      </c>
      <c r="I4" s="5" t="s">
        <v>10</v>
      </c>
      <c r="J4" s="5" t="s">
        <v>11</v>
      </c>
      <c r="K4" s="5" t="s">
        <v>9</v>
      </c>
      <c r="L4" s="5" t="s">
        <v>10</v>
      </c>
      <c r="M4" s="5" t="s">
        <v>11</v>
      </c>
    </row>
    <row r="5" customFormat="false" ht="15" hidden="false" customHeight="false" outlineLevel="0" collapsed="false">
      <c r="A5" s="6" t="s">
        <v>12</v>
      </c>
      <c r="B5" s="6"/>
      <c r="C5" s="6"/>
      <c r="D5" s="7" t="n">
        <v>50</v>
      </c>
      <c r="E5" s="8"/>
      <c r="F5" s="8"/>
      <c r="G5" s="8"/>
      <c r="H5" s="8"/>
      <c r="I5" s="8"/>
      <c r="J5" s="8"/>
      <c r="K5" s="8"/>
      <c r="L5" s="8"/>
      <c r="M5" s="8"/>
    </row>
    <row r="6" customFormat="false" ht="87.75" hidden="false" customHeight="true" outlineLevel="0" collapsed="false">
      <c r="A6" s="9" t="s">
        <v>13</v>
      </c>
      <c r="B6" s="10" t="s">
        <v>14</v>
      </c>
      <c r="C6" s="11" t="s">
        <v>15</v>
      </c>
      <c r="D6" s="12" t="n">
        <v>6</v>
      </c>
      <c r="E6" s="13" t="n">
        <v>4</v>
      </c>
      <c r="F6" s="14" t="n">
        <f aca="false">ROUND($D6*E6/5,1)</f>
        <v>4.8</v>
      </c>
      <c r="G6" s="15" t="s">
        <v>16</v>
      </c>
      <c r="H6" s="13" t="n">
        <v>3</v>
      </c>
      <c r="I6" s="14" t="n">
        <f aca="false">ROUND($D6*H6/5,1)</f>
        <v>3.6</v>
      </c>
      <c r="J6" s="11" t="s">
        <v>17</v>
      </c>
      <c r="K6" s="13" t="n">
        <v>5</v>
      </c>
      <c r="L6" s="14" t="n">
        <f aca="false">ROUND($D6*K6/5,1)</f>
        <v>6</v>
      </c>
      <c r="M6" s="11" t="s">
        <v>18</v>
      </c>
    </row>
    <row r="7" customFormat="false" ht="87.75" hidden="false" customHeight="true" outlineLevel="0" collapsed="false">
      <c r="A7" s="9" t="s">
        <v>19</v>
      </c>
      <c r="B7" s="10" t="s">
        <v>20</v>
      </c>
      <c r="C7" s="11" t="s">
        <v>21</v>
      </c>
      <c r="D7" s="12" t="n">
        <v>10</v>
      </c>
      <c r="E7" s="16" t="n">
        <v>3</v>
      </c>
      <c r="F7" s="14" t="n">
        <f aca="false">ROUND($D7*E7/5,1)</f>
        <v>6</v>
      </c>
      <c r="G7" s="11" t="s">
        <v>22</v>
      </c>
      <c r="H7" s="16" t="n">
        <v>3</v>
      </c>
      <c r="I7" s="14" t="n">
        <f aca="false">ROUND($D7*H7/5,1)</f>
        <v>6</v>
      </c>
      <c r="J7" s="11" t="s">
        <v>23</v>
      </c>
      <c r="K7" s="16" t="n">
        <v>4</v>
      </c>
      <c r="L7" s="14" t="n">
        <f aca="false">ROUND($D7*K7/5,1)</f>
        <v>8</v>
      </c>
      <c r="M7" s="11" t="s">
        <v>24</v>
      </c>
    </row>
    <row r="8" customFormat="false" ht="87.75" hidden="false" customHeight="true" outlineLevel="0" collapsed="false">
      <c r="A8" s="9" t="s">
        <v>25</v>
      </c>
      <c r="B8" s="10" t="s">
        <v>26</v>
      </c>
      <c r="C8" s="11" t="s">
        <v>27</v>
      </c>
      <c r="D8" s="12" t="n">
        <v>8</v>
      </c>
      <c r="E8" s="13" t="n">
        <v>3</v>
      </c>
      <c r="F8" s="14" t="n">
        <f aca="false">ROUND($D8*E8/5,1)</f>
        <v>4.8</v>
      </c>
      <c r="G8" s="11" t="s">
        <v>28</v>
      </c>
      <c r="H8" s="13" t="n">
        <v>5</v>
      </c>
      <c r="I8" s="14" t="n">
        <f aca="false">ROUND($D8*H8/5,1)</f>
        <v>8</v>
      </c>
      <c r="J8" s="11" t="s">
        <v>29</v>
      </c>
      <c r="K8" s="13" t="n">
        <v>5</v>
      </c>
      <c r="L8" s="14" t="n">
        <f aca="false">ROUND($D8*K8/5,1)</f>
        <v>8</v>
      </c>
      <c r="M8" s="11" t="s">
        <v>30</v>
      </c>
    </row>
    <row r="9" customFormat="false" ht="87.75" hidden="false" customHeight="true" outlineLevel="0" collapsed="false">
      <c r="A9" s="9" t="s">
        <v>31</v>
      </c>
      <c r="B9" s="10" t="s">
        <v>32</v>
      </c>
      <c r="C9" s="15" t="s">
        <v>33</v>
      </c>
      <c r="D9" s="12" t="n">
        <v>8</v>
      </c>
      <c r="E9" s="13" t="n">
        <v>3</v>
      </c>
      <c r="F9" s="14" t="n">
        <f aca="false">ROUND($D9*E9/5,1)</f>
        <v>4.8</v>
      </c>
      <c r="G9" s="11" t="s">
        <v>34</v>
      </c>
      <c r="H9" s="13" t="n">
        <v>4</v>
      </c>
      <c r="I9" s="14" t="n">
        <f aca="false">ROUND($D9*H9/5,1)</f>
        <v>6.4</v>
      </c>
      <c r="J9" s="15" t="s">
        <v>35</v>
      </c>
      <c r="K9" s="13" t="n">
        <v>4</v>
      </c>
      <c r="L9" s="14" t="n">
        <f aca="false">ROUND($D9*K9/5,1)</f>
        <v>6.4</v>
      </c>
      <c r="M9" s="11" t="s">
        <v>36</v>
      </c>
    </row>
    <row r="10" customFormat="false" ht="87.75" hidden="false" customHeight="true" outlineLevel="0" collapsed="false">
      <c r="A10" s="9" t="s">
        <v>37</v>
      </c>
      <c r="B10" s="10" t="s">
        <v>38</v>
      </c>
      <c r="C10" s="11" t="s">
        <v>39</v>
      </c>
      <c r="D10" s="12" t="n">
        <v>10</v>
      </c>
      <c r="E10" s="13" t="n">
        <v>2</v>
      </c>
      <c r="F10" s="14" t="n">
        <f aca="false">ROUND($D10*E10/5,1)</f>
        <v>4</v>
      </c>
      <c r="G10" s="11" t="s">
        <v>40</v>
      </c>
      <c r="H10" s="13" t="n">
        <v>4</v>
      </c>
      <c r="I10" s="14" t="n">
        <f aca="false">ROUND($D10*H10/5,1)</f>
        <v>8</v>
      </c>
      <c r="J10" s="15" t="s">
        <v>41</v>
      </c>
      <c r="K10" s="13" t="n">
        <v>5</v>
      </c>
      <c r="L10" s="14" t="n">
        <f aca="false">ROUND($D10*K10/5,1)</f>
        <v>10</v>
      </c>
      <c r="M10" s="15" t="s">
        <v>42</v>
      </c>
    </row>
    <row r="11" customFormat="false" ht="87.75" hidden="false" customHeight="true" outlineLevel="0" collapsed="false">
      <c r="A11" s="9" t="s">
        <v>43</v>
      </c>
      <c r="B11" s="10" t="s">
        <v>44</v>
      </c>
      <c r="C11" s="11" t="s">
        <v>45</v>
      </c>
      <c r="D11" s="12" t="n">
        <v>8</v>
      </c>
      <c r="E11" s="16" t="n">
        <v>3</v>
      </c>
      <c r="F11" s="14" t="n">
        <f aca="false">ROUND($D11*E11/5,1)</f>
        <v>4.8</v>
      </c>
      <c r="G11" s="11" t="s">
        <v>46</v>
      </c>
      <c r="H11" s="16" t="n">
        <v>2</v>
      </c>
      <c r="I11" s="14" t="n">
        <f aca="false">ROUND($D11*H11/5,1)</f>
        <v>3.2</v>
      </c>
      <c r="J11" s="11" t="s">
        <v>47</v>
      </c>
      <c r="K11" s="16" t="n">
        <v>4</v>
      </c>
      <c r="L11" s="14" t="n">
        <f aca="false">ROUND($D11*K11/5,1)</f>
        <v>6.4</v>
      </c>
      <c r="M11" s="11" t="s">
        <v>48</v>
      </c>
    </row>
    <row r="12" customFormat="false" ht="15" hidden="false" customHeight="false" outlineLevel="0" collapsed="false">
      <c r="A12" s="17" t="s">
        <v>49</v>
      </c>
      <c r="B12" s="17"/>
      <c r="C12" s="17"/>
      <c r="D12" s="18" t="n">
        <f aca="false">SUM(D6:D11)</f>
        <v>50</v>
      </c>
      <c r="E12" s="19"/>
      <c r="F12" s="20" t="n">
        <f aca="false">ROUND(SUM(F6:F11),1)</f>
        <v>29.2</v>
      </c>
      <c r="G12" s="19"/>
      <c r="H12" s="19"/>
      <c r="I12" s="20" t="n">
        <f aca="false">ROUND(SUM(I6:I11),1)</f>
        <v>35.2</v>
      </c>
      <c r="J12" s="19"/>
      <c r="K12" s="19"/>
      <c r="L12" s="20" t="n">
        <f aca="false">ROUND(SUM(L6:L11),1)</f>
        <v>44.8</v>
      </c>
      <c r="M12" s="19"/>
    </row>
    <row r="13" customFormat="false" ht="15" hidden="false" customHeight="false" outlineLevel="0" collapsed="false">
      <c r="A13" s="6" t="s">
        <v>50</v>
      </c>
      <c r="B13" s="6"/>
      <c r="C13" s="6"/>
      <c r="D13" s="7" t="n">
        <v>23</v>
      </c>
      <c r="E13" s="8"/>
      <c r="F13" s="8"/>
      <c r="G13" s="8"/>
      <c r="H13" s="8"/>
      <c r="I13" s="8"/>
      <c r="J13" s="8"/>
      <c r="K13" s="8"/>
      <c r="L13" s="8"/>
      <c r="M13" s="8"/>
    </row>
    <row r="14" customFormat="false" ht="87.75" hidden="false" customHeight="true" outlineLevel="0" collapsed="false">
      <c r="A14" s="9" t="s">
        <v>51</v>
      </c>
      <c r="B14" s="10" t="s">
        <v>52</v>
      </c>
      <c r="C14" s="15" t="s">
        <v>53</v>
      </c>
      <c r="D14" s="12" t="n">
        <v>6</v>
      </c>
      <c r="E14" s="16" t="n">
        <v>3</v>
      </c>
      <c r="F14" s="14" t="n">
        <f aca="false">ROUND($D14*E14/5,1)</f>
        <v>3.6</v>
      </c>
      <c r="G14" s="11" t="s">
        <v>54</v>
      </c>
      <c r="H14" s="16" t="n">
        <v>4</v>
      </c>
      <c r="I14" s="14" t="n">
        <f aca="false">ROUND($D14*H14/5,1)</f>
        <v>4.8</v>
      </c>
      <c r="J14" s="11" t="s">
        <v>55</v>
      </c>
      <c r="K14" s="16" t="n">
        <v>3</v>
      </c>
      <c r="L14" s="14" t="n">
        <f aca="false">ROUND($D14*K14/5,1)</f>
        <v>3.6</v>
      </c>
      <c r="M14" s="11" t="s">
        <v>56</v>
      </c>
    </row>
    <row r="15" customFormat="false" ht="87.75" hidden="false" customHeight="true" outlineLevel="0" collapsed="false">
      <c r="A15" s="9" t="s">
        <v>57</v>
      </c>
      <c r="B15" s="10" t="s">
        <v>58</v>
      </c>
      <c r="C15" s="11" t="s">
        <v>59</v>
      </c>
      <c r="D15" s="12" t="n">
        <v>6</v>
      </c>
      <c r="E15" s="13" t="n">
        <v>2</v>
      </c>
      <c r="F15" s="14" t="n">
        <f aca="false">ROUND($D15*E15/5,1)</f>
        <v>2.4</v>
      </c>
      <c r="G15" s="11" t="s">
        <v>60</v>
      </c>
      <c r="H15" s="13" t="n">
        <v>3</v>
      </c>
      <c r="I15" s="14" t="n">
        <f aca="false">ROUND($D15*H15/5,1)</f>
        <v>3.6</v>
      </c>
      <c r="J15" s="11" t="s">
        <v>61</v>
      </c>
      <c r="K15" s="13" t="n">
        <v>2</v>
      </c>
      <c r="L15" s="14" t="n">
        <f aca="false">ROUND($D15*K15/5,1)</f>
        <v>2.4</v>
      </c>
      <c r="M15" s="11" t="s">
        <v>62</v>
      </c>
    </row>
    <row r="16" customFormat="false" ht="87.75" hidden="false" customHeight="true" outlineLevel="0" collapsed="false">
      <c r="A16" s="9" t="s">
        <v>63</v>
      </c>
      <c r="B16" s="10" t="s">
        <v>64</v>
      </c>
      <c r="C16" s="11" t="s">
        <v>65</v>
      </c>
      <c r="D16" s="12" t="n">
        <v>5</v>
      </c>
      <c r="E16" s="13" t="n">
        <v>2</v>
      </c>
      <c r="F16" s="14" t="n">
        <f aca="false">ROUND($D16*E16/5,1)</f>
        <v>2</v>
      </c>
      <c r="G16" s="11" t="s">
        <v>66</v>
      </c>
      <c r="H16" s="13" t="n">
        <v>3</v>
      </c>
      <c r="I16" s="14" t="n">
        <f aca="false">ROUND($D16*H16/5,1)</f>
        <v>3</v>
      </c>
      <c r="J16" s="11" t="s">
        <v>67</v>
      </c>
      <c r="K16" s="13" t="n">
        <v>3</v>
      </c>
      <c r="L16" s="14" t="n">
        <f aca="false">ROUND($D16*K16/5,1)</f>
        <v>3</v>
      </c>
      <c r="M16" s="11" t="s">
        <v>68</v>
      </c>
    </row>
    <row r="17" customFormat="false" ht="87.75" hidden="false" customHeight="true" outlineLevel="0" collapsed="false">
      <c r="A17" s="9" t="s">
        <v>69</v>
      </c>
      <c r="B17" s="10" t="s">
        <v>70</v>
      </c>
      <c r="C17" s="11" t="s">
        <v>71</v>
      </c>
      <c r="D17" s="12" t="n">
        <v>6</v>
      </c>
      <c r="E17" s="13" t="n">
        <v>3</v>
      </c>
      <c r="F17" s="14" t="n">
        <f aca="false">ROUND($D17*E17/5,1)</f>
        <v>3.6</v>
      </c>
      <c r="G17" s="11" t="s">
        <v>72</v>
      </c>
      <c r="H17" s="13" t="n">
        <v>3</v>
      </c>
      <c r="I17" s="14" t="n">
        <f aca="false">ROUND($D17*H17/5,1)</f>
        <v>3.6</v>
      </c>
      <c r="J17" s="11" t="s">
        <v>73</v>
      </c>
      <c r="K17" s="13" t="n">
        <v>4</v>
      </c>
      <c r="L17" s="14" t="n">
        <f aca="false">ROUND($D17*K17/5,1)</f>
        <v>4.8</v>
      </c>
      <c r="M17" s="11" t="s">
        <v>74</v>
      </c>
    </row>
    <row r="18" customFormat="false" ht="15" hidden="false" customHeight="false" outlineLevel="0" collapsed="false">
      <c r="A18" s="17" t="s">
        <v>75</v>
      </c>
      <c r="B18" s="17"/>
      <c r="C18" s="17"/>
      <c r="D18" s="18" t="n">
        <f aca="false">SUM(D14:D17)</f>
        <v>23</v>
      </c>
      <c r="E18" s="19"/>
      <c r="F18" s="20" t="n">
        <f aca="false">ROUND(SUM(F14:F17),1)</f>
        <v>11.6</v>
      </c>
      <c r="G18" s="19"/>
      <c r="H18" s="19"/>
      <c r="I18" s="20" t="n">
        <f aca="false">ROUND(SUM(I14:I17),1)</f>
        <v>15</v>
      </c>
      <c r="J18" s="19"/>
      <c r="K18" s="19"/>
      <c r="L18" s="20" t="n">
        <f aca="false">ROUND(SUM(L14:L17),1)</f>
        <v>13.8</v>
      </c>
      <c r="M18" s="19"/>
    </row>
    <row r="19" customFormat="false" ht="15" hidden="false" customHeight="false" outlineLevel="0" collapsed="false">
      <c r="A19" s="6" t="s">
        <v>76</v>
      </c>
      <c r="B19" s="6"/>
      <c r="C19" s="6"/>
      <c r="D19" s="7" t="n">
        <v>27</v>
      </c>
      <c r="E19" s="8"/>
      <c r="F19" s="8"/>
      <c r="G19" s="8"/>
      <c r="H19" s="8"/>
      <c r="I19" s="8"/>
      <c r="J19" s="8"/>
      <c r="K19" s="8"/>
      <c r="L19" s="8"/>
      <c r="M19" s="8"/>
    </row>
    <row r="20" customFormat="false" ht="87.75" hidden="false" customHeight="true" outlineLevel="0" collapsed="false">
      <c r="A20" s="9" t="s">
        <v>77</v>
      </c>
      <c r="B20" s="10" t="s">
        <v>78</v>
      </c>
      <c r="C20" s="15" t="s">
        <v>79</v>
      </c>
      <c r="D20" s="12" t="n">
        <v>8</v>
      </c>
      <c r="E20" s="13" t="n">
        <v>3</v>
      </c>
      <c r="F20" s="14" t="n">
        <f aca="false">ROUND($D20*E20/5,1)</f>
        <v>4.8</v>
      </c>
      <c r="G20" s="15" t="s">
        <v>80</v>
      </c>
      <c r="H20" s="13" t="n">
        <v>2</v>
      </c>
      <c r="I20" s="14" t="n">
        <f aca="false">ROUND($D20*H20/5,1)</f>
        <v>3.2</v>
      </c>
      <c r="J20" s="11" t="s">
        <v>81</v>
      </c>
      <c r="K20" s="13" t="n">
        <v>4</v>
      </c>
      <c r="L20" s="14" t="n">
        <f aca="false">ROUND($D20*K20/5,1)</f>
        <v>6.4</v>
      </c>
      <c r="M20" s="15" t="s">
        <v>82</v>
      </c>
    </row>
    <row r="21" customFormat="false" ht="87.75" hidden="false" customHeight="true" outlineLevel="0" collapsed="false">
      <c r="A21" s="9" t="s">
        <v>83</v>
      </c>
      <c r="B21" s="10" t="s">
        <v>84</v>
      </c>
      <c r="C21" s="15" t="s">
        <v>85</v>
      </c>
      <c r="D21" s="12" t="n">
        <v>8</v>
      </c>
      <c r="E21" s="16" t="n">
        <v>4</v>
      </c>
      <c r="F21" s="14" t="n">
        <f aca="false">ROUND($D21*E21/5,1)</f>
        <v>6.4</v>
      </c>
      <c r="G21" s="11" t="s">
        <v>86</v>
      </c>
      <c r="H21" s="16" t="n">
        <v>2</v>
      </c>
      <c r="I21" s="14" t="n">
        <f aca="false">ROUND($D21*H21/5,1)</f>
        <v>3.2</v>
      </c>
      <c r="J21" s="11" t="s">
        <v>87</v>
      </c>
      <c r="K21" s="16" t="n">
        <v>2</v>
      </c>
      <c r="L21" s="14" t="n">
        <f aca="false">ROUND($D21*K21/5,1)</f>
        <v>3.2</v>
      </c>
      <c r="M21" s="11" t="s">
        <v>88</v>
      </c>
    </row>
    <row r="22" customFormat="false" ht="87.75" hidden="false" customHeight="true" outlineLevel="0" collapsed="false">
      <c r="A22" s="9" t="s">
        <v>89</v>
      </c>
      <c r="B22" s="10" t="s">
        <v>90</v>
      </c>
      <c r="C22" s="11" t="s">
        <v>91</v>
      </c>
      <c r="D22" s="12" t="n">
        <v>6</v>
      </c>
      <c r="E22" s="16" t="n">
        <v>2</v>
      </c>
      <c r="F22" s="14" t="n">
        <f aca="false">ROUND($D22*E22/5,1)</f>
        <v>2.4</v>
      </c>
      <c r="G22" s="11" t="s">
        <v>92</v>
      </c>
      <c r="H22" s="16" t="n">
        <v>3</v>
      </c>
      <c r="I22" s="14" t="n">
        <f aca="false">ROUND($D22*H22/5,1)</f>
        <v>3.6</v>
      </c>
      <c r="J22" s="11" t="s">
        <v>93</v>
      </c>
      <c r="K22" s="16" t="n">
        <v>2</v>
      </c>
      <c r="L22" s="14" t="n">
        <f aca="false">ROUND($D22*K22/5,1)</f>
        <v>2.4</v>
      </c>
      <c r="M22" s="11" t="s">
        <v>94</v>
      </c>
    </row>
    <row r="23" customFormat="false" ht="87.75" hidden="false" customHeight="true" outlineLevel="0" collapsed="false">
      <c r="A23" s="9" t="s">
        <v>95</v>
      </c>
      <c r="B23" s="10" t="s">
        <v>96</v>
      </c>
      <c r="C23" s="11" t="s">
        <v>97</v>
      </c>
      <c r="D23" s="12" t="n">
        <v>5</v>
      </c>
      <c r="E23" s="13" t="n">
        <v>4</v>
      </c>
      <c r="F23" s="14" t="n">
        <f aca="false">ROUND($D23*E23/5,1)</f>
        <v>4</v>
      </c>
      <c r="G23" s="11" t="s">
        <v>98</v>
      </c>
      <c r="H23" s="13" t="n">
        <v>3</v>
      </c>
      <c r="I23" s="14" t="n">
        <f aca="false">ROUND($D23*H23/5,1)</f>
        <v>3</v>
      </c>
      <c r="J23" s="11" t="s">
        <v>99</v>
      </c>
      <c r="K23" s="13" t="n">
        <v>4</v>
      </c>
      <c r="L23" s="14" t="n">
        <f aca="false">ROUND($D23*K23/5,1)</f>
        <v>4</v>
      </c>
      <c r="M23" s="11" t="s">
        <v>100</v>
      </c>
    </row>
    <row r="24" customFormat="false" ht="15" hidden="false" customHeight="false" outlineLevel="0" collapsed="false">
      <c r="A24" s="17" t="s">
        <v>101</v>
      </c>
      <c r="B24" s="17"/>
      <c r="C24" s="17"/>
      <c r="D24" s="18" t="n">
        <f aca="false">SUM(D20:D23)</f>
        <v>27</v>
      </c>
      <c r="E24" s="19"/>
      <c r="F24" s="20" t="n">
        <f aca="false">ROUND(SUM(F20:F23),1)</f>
        <v>17.6</v>
      </c>
      <c r="G24" s="19"/>
      <c r="H24" s="19"/>
      <c r="I24" s="20" t="n">
        <f aca="false">ROUND(SUM(I20:I23),1)</f>
        <v>13</v>
      </c>
      <c r="J24" s="19"/>
      <c r="K24" s="19"/>
      <c r="L24" s="20" t="n">
        <f aca="false">ROUND(SUM(L20:L23),1)</f>
        <v>16</v>
      </c>
      <c r="M24" s="19"/>
    </row>
    <row r="25" customFormat="false" ht="21.75" hidden="false" customHeight="true" outlineLevel="0" collapsed="false">
      <c r="A25" s="21" t="s">
        <v>102</v>
      </c>
      <c r="B25" s="21"/>
      <c r="C25" s="21"/>
      <c r="D25" s="22" t="n">
        <v>100</v>
      </c>
      <c r="E25" s="23"/>
      <c r="F25" s="24" t="n">
        <f aca="false">ROUND(F12+F18+F24,1)</f>
        <v>58.4</v>
      </c>
      <c r="G25" s="23"/>
      <c r="H25" s="23"/>
      <c r="I25" s="24" t="n">
        <f aca="false">ROUND(I12+I18+I24,1)</f>
        <v>63.2</v>
      </c>
      <c r="J25" s="23"/>
      <c r="K25" s="23"/>
      <c r="L25" s="24" t="n">
        <f aca="false">ROUND(L12+L18+L24,1)</f>
        <v>74.6</v>
      </c>
      <c r="M25" s="23"/>
    </row>
  </sheetData>
  <mergeCells count="16">
    <mergeCell ref="A1:M1"/>
    <mergeCell ref="A2:M2"/>
    <mergeCell ref="A3:A4"/>
    <mergeCell ref="B3:B4"/>
    <mergeCell ref="C3:C4"/>
    <mergeCell ref="D3:D4"/>
    <mergeCell ref="E3:G3"/>
    <mergeCell ref="H3:J3"/>
    <mergeCell ref="K3:M3"/>
    <mergeCell ref="A5:C5"/>
    <mergeCell ref="A12:C12"/>
    <mergeCell ref="A13:C13"/>
    <mergeCell ref="A18:C18"/>
    <mergeCell ref="A19:C19"/>
    <mergeCell ref="A24:C24"/>
    <mergeCell ref="A25:C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7"/>
    <col collapsed="false" customWidth="true" hidden="false" outlineLevel="0" max="5" min="3" style="0" width="13"/>
  </cols>
  <sheetData>
    <row r="1" customFormat="false" ht="21.75" hidden="false" customHeight="true" outlineLevel="0" collapsed="false">
      <c r="A1" s="25" t="s">
        <v>103</v>
      </c>
      <c r="B1" s="25"/>
      <c r="C1" s="25"/>
      <c r="D1" s="25"/>
      <c r="E1" s="25"/>
    </row>
    <row r="3" customFormat="false" ht="15" hidden="false" customHeight="false" outlineLevel="0" collapsed="false">
      <c r="A3" s="4" t="s">
        <v>104</v>
      </c>
      <c r="B3" s="4" t="s">
        <v>5</v>
      </c>
      <c r="C3" s="3" t="s">
        <v>105</v>
      </c>
      <c r="D3" s="3" t="s">
        <v>106</v>
      </c>
      <c r="E3" s="3" t="s">
        <v>107</v>
      </c>
    </row>
    <row r="4" customFormat="false" ht="15" hidden="false" customHeight="false" outlineLevel="0" collapsed="false">
      <c r="A4" s="26" t="s">
        <v>108</v>
      </c>
      <c r="B4" s="12" t="n">
        <v>50</v>
      </c>
      <c r="C4" s="14" t="n">
        <f aca="false">'採点表（仮採点・理由）'!F12</f>
        <v>29.2</v>
      </c>
      <c r="D4" s="14" t="n">
        <f aca="false">'採点表（仮採点・理由）'!I12</f>
        <v>35.2</v>
      </c>
      <c r="E4" s="14" t="n">
        <f aca="false">'採点表（仮採点・理由）'!L12</f>
        <v>44.8</v>
      </c>
    </row>
    <row r="5" customFormat="false" ht="15" hidden="false" customHeight="false" outlineLevel="0" collapsed="false">
      <c r="A5" s="26" t="s">
        <v>109</v>
      </c>
      <c r="B5" s="12" t="n">
        <v>23</v>
      </c>
      <c r="C5" s="14" t="n">
        <f aca="false">'採点表（仮採点・理由）'!F18</f>
        <v>11.6</v>
      </c>
      <c r="D5" s="14" t="n">
        <f aca="false">'採点表（仮採点・理由）'!I18</f>
        <v>15</v>
      </c>
      <c r="E5" s="14" t="n">
        <f aca="false">'採点表（仮採点・理由）'!L18</f>
        <v>13.8</v>
      </c>
    </row>
    <row r="6" customFormat="false" ht="15" hidden="false" customHeight="false" outlineLevel="0" collapsed="false">
      <c r="A6" s="26" t="s">
        <v>110</v>
      </c>
      <c r="B6" s="12" t="n">
        <v>27</v>
      </c>
      <c r="C6" s="14" t="n">
        <f aca="false">'採点表（仮採点・理由）'!F24</f>
        <v>17.6</v>
      </c>
      <c r="D6" s="14" t="n">
        <f aca="false">'採点表（仮採点・理由）'!I24</f>
        <v>13</v>
      </c>
      <c r="E6" s="14" t="n">
        <f aca="false">'採点表（仮採点・理由）'!L24</f>
        <v>16</v>
      </c>
    </row>
    <row r="7" customFormat="false" ht="15" hidden="false" customHeight="false" outlineLevel="0" collapsed="false">
      <c r="A7" s="27" t="s">
        <v>111</v>
      </c>
      <c r="B7" s="13" t="n">
        <v>100</v>
      </c>
      <c r="C7" s="24" t="n">
        <f aca="false">'採点表（仮採点・理由）'!F25</f>
        <v>58.4</v>
      </c>
      <c r="D7" s="24" t="n">
        <f aca="false">'採点表（仮採点・理由）'!I25</f>
        <v>63.2</v>
      </c>
      <c r="E7" s="24" t="n">
        <f aca="false">'採点表（仮採点・理由）'!L25</f>
        <v>74.6</v>
      </c>
    </row>
    <row r="9" customFormat="false" ht="15" hidden="false" customHeight="false" outlineLevel="0" collapsed="false">
      <c r="A9" s="28"/>
    </row>
    <row r="10" customFormat="false" ht="15" hidden="false" customHeight="false" outlineLevel="0" collapsed="false">
      <c r="A10" s="29" t="s">
        <v>112</v>
      </c>
    </row>
    <row r="11" customFormat="false" ht="15" hidden="false" customHeight="false" outlineLevel="0" collapsed="false">
      <c r="A11" s="28" t="s">
        <v>113</v>
      </c>
    </row>
    <row r="12" customFormat="false" ht="15" hidden="false" customHeight="false" outlineLevel="0" collapsed="false">
      <c r="A12" s="30" t="s">
        <v>114</v>
      </c>
    </row>
    <row r="13" customFormat="false" ht="15" hidden="false" customHeight="false" outlineLevel="0" collapsed="false">
      <c r="A13" s="28" t="s">
        <v>115</v>
      </c>
    </row>
    <row r="14" customFormat="false" ht="15" hidden="false" customHeight="false" outlineLevel="0" collapsed="false">
      <c r="A14" s="30" t="s">
        <v>116</v>
      </c>
    </row>
    <row r="15" customFormat="false" ht="15" hidden="false" customHeight="false" outlineLevel="0" collapsed="false">
      <c r="A15" s="28" t="s">
        <v>117</v>
      </c>
    </row>
    <row r="16" customFormat="false" ht="15" hidden="false" customHeight="false" outlineLevel="0" collapsed="false">
      <c r="A16" s="30" t="s">
        <v>118</v>
      </c>
    </row>
    <row r="17" customFormat="false" ht="15" hidden="false" customHeight="false" outlineLevel="0" collapsed="false">
      <c r="A17" s="30"/>
    </row>
    <row r="18" customFormat="false" ht="15" hidden="false" customHeight="false" outlineLevel="0" collapsed="false">
      <c r="A18" s="29" t="s">
        <v>119</v>
      </c>
    </row>
    <row r="19" customFormat="false" ht="15" hidden="false" customHeight="false" outlineLevel="0" collapsed="false">
      <c r="A19" s="30" t="s">
        <v>120</v>
      </c>
    </row>
    <row r="20" customFormat="false" ht="15" hidden="false" customHeight="false" outlineLevel="0" collapsed="false">
      <c r="A20" s="30" t="s">
        <v>121</v>
      </c>
    </row>
    <row r="21" customFormat="false" ht="15" hidden="false" customHeight="false" outlineLevel="0" collapsed="false">
      <c r="A21" s="30" t="s">
        <v>122</v>
      </c>
    </row>
    <row r="22" customFormat="false" ht="15" hidden="false" customHeight="false" outlineLevel="0" collapsed="false">
      <c r="A22" s="30" t="s">
        <v>123</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5" min="2" style="0" width="30"/>
  </cols>
  <sheetData>
    <row r="1" customFormat="false" ht="21.75" hidden="false" customHeight="true" outlineLevel="0" collapsed="false">
      <c r="A1" s="25" t="s">
        <v>124</v>
      </c>
      <c r="B1" s="25"/>
      <c r="C1" s="25"/>
      <c r="D1" s="25"/>
      <c r="E1" s="25"/>
    </row>
    <row r="2" customFormat="false" ht="30" hidden="false" customHeight="true" outlineLevel="0" collapsed="false">
      <c r="A2" s="2" t="s">
        <v>125</v>
      </c>
      <c r="B2" s="2"/>
      <c r="C2" s="2"/>
      <c r="D2" s="2"/>
      <c r="E2" s="2"/>
    </row>
    <row r="3" customFormat="false" ht="18" hidden="false" customHeight="true" outlineLevel="0" collapsed="false">
      <c r="A3" s="31" t="s">
        <v>126</v>
      </c>
      <c r="B3" s="31"/>
      <c r="C3" s="31"/>
      <c r="D3" s="31"/>
      <c r="E3" s="31"/>
    </row>
    <row r="4" customFormat="false" ht="15" hidden="false" customHeight="false" outlineLevel="0" collapsed="false">
      <c r="A4" s="32" t="s">
        <v>127</v>
      </c>
      <c r="B4" s="33" t="s">
        <v>128</v>
      </c>
      <c r="C4" s="33" t="s">
        <v>129</v>
      </c>
      <c r="D4" s="33" t="s">
        <v>130</v>
      </c>
      <c r="E4" s="32" t="s">
        <v>131</v>
      </c>
    </row>
    <row r="5" customFormat="false" ht="33.75" hidden="false" customHeight="true" outlineLevel="0" collapsed="false">
      <c r="A5" s="34" t="s">
        <v>132</v>
      </c>
      <c r="B5" s="15" t="s">
        <v>133</v>
      </c>
      <c r="C5" s="15" t="s">
        <v>134</v>
      </c>
      <c r="D5" s="15" t="s">
        <v>135</v>
      </c>
      <c r="E5" s="15" t="s">
        <v>136</v>
      </c>
    </row>
    <row r="6" customFormat="false" ht="33.75" hidden="false" customHeight="true" outlineLevel="0" collapsed="false">
      <c r="A6" s="34" t="s">
        <v>137</v>
      </c>
      <c r="B6" s="15" t="s">
        <v>133</v>
      </c>
      <c r="C6" s="15" t="s">
        <v>138</v>
      </c>
      <c r="D6" s="15" t="s">
        <v>139</v>
      </c>
      <c r="E6" s="15" t="s">
        <v>140</v>
      </c>
    </row>
    <row r="7" customFormat="false" ht="33.75" hidden="false" customHeight="true" outlineLevel="0" collapsed="false">
      <c r="A7" s="34" t="s">
        <v>141</v>
      </c>
      <c r="B7" s="15" t="s">
        <v>142</v>
      </c>
      <c r="C7" s="15" t="s">
        <v>143</v>
      </c>
      <c r="D7" s="15" t="s">
        <v>144</v>
      </c>
      <c r="E7" s="11" t="s">
        <v>145</v>
      </c>
    </row>
    <row r="8" customFormat="false" ht="33.75" hidden="false" customHeight="true" outlineLevel="0" collapsed="false">
      <c r="A8" s="34" t="s">
        <v>146</v>
      </c>
      <c r="B8" s="15" t="s">
        <v>147</v>
      </c>
      <c r="C8" s="15" t="s">
        <v>148</v>
      </c>
      <c r="D8" s="15" t="s">
        <v>149</v>
      </c>
      <c r="E8" s="11" t="s">
        <v>150</v>
      </c>
    </row>
    <row r="9" customFormat="false" ht="33.75" hidden="false" customHeight="true" outlineLevel="0" collapsed="false">
      <c r="A9" s="34" t="s">
        <v>151</v>
      </c>
      <c r="B9" s="15" t="s">
        <v>152</v>
      </c>
      <c r="C9" s="15" t="s">
        <v>153</v>
      </c>
      <c r="D9" s="15" t="s">
        <v>154</v>
      </c>
      <c r="E9" s="11"/>
    </row>
    <row r="10" customFormat="false" ht="33.75" hidden="false" customHeight="true" outlineLevel="0" collapsed="false">
      <c r="A10" s="34" t="s">
        <v>155</v>
      </c>
      <c r="B10" s="15" t="s">
        <v>156</v>
      </c>
      <c r="C10" s="15" t="s">
        <v>157</v>
      </c>
      <c r="D10" s="15" t="s">
        <v>158</v>
      </c>
      <c r="E10" s="11" t="s">
        <v>159</v>
      </c>
    </row>
    <row r="11" customFormat="false" ht="33.75" hidden="false" customHeight="true" outlineLevel="0" collapsed="false">
      <c r="A11" s="34" t="s">
        <v>160</v>
      </c>
      <c r="B11" s="15" t="s">
        <v>161</v>
      </c>
      <c r="C11" s="15" t="s">
        <v>162</v>
      </c>
      <c r="D11" s="15" t="s">
        <v>163</v>
      </c>
      <c r="E11" s="15" t="s">
        <v>164</v>
      </c>
    </row>
    <row r="12" customFormat="false" ht="33.75" hidden="false" customHeight="true" outlineLevel="0" collapsed="false">
      <c r="A12" s="34" t="s">
        <v>165</v>
      </c>
      <c r="B12" s="15" t="s">
        <v>166</v>
      </c>
      <c r="C12" s="15" t="s">
        <v>167</v>
      </c>
      <c r="D12" s="15" t="s">
        <v>168</v>
      </c>
      <c r="E12" s="11" t="s">
        <v>169</v>
      </c>
    </row>
    <row r="13" customFormat="false" ht="33.75" hidden="false" customHeight="true" outlineLevel="0" collapsed="false">
      <c r="A13" s="34" t="s">
        <v>170</v>
      </c>
      <c r="B13" s="15" t="s">
        <v>161</v>
      </c>
      <c r="C13" s="15" t="s">
        <v>171</v>
      </c>
      <c r="D13" s="15" t="s">
        <v>172</v>
      </c>
      <c r="E13" s="15" t="s">
        <v>173</v>
      </c>
    </row>
    <row r="14" customFormat="false" ht="33.75" hidden="false" customHeight="true" outlineLevel="0" collapsed="false">
      <c r="A14" s="35" t="s">
        <v>174</v>
      </c>
      <c r="B14" s="15" t="s">
        <v>175</v>
      </c>
      <c r="C14" s="15" t="s">
        <v>176</v>
      </c>
      <c r="D14" s="15" t="s">
        <v>177</v>
      </c>
      <c r="E14" s="15" t="s">
        <v>178</v>
      </c>
    </row>
    <row r="15" customFormat="false" ht="33.75" hidden="false" customHeight="true" outlineLevel="0" collapsed="false">
      <c r="A15" s="34" t="s">
        <v>179</v>
      </c>
      <c r="B15" s="15" t="s">
        <v>180</v>
      </c>
      <c r="C15" s="15" t="s">
        <v>181</v>
      </c>
      <c r="D15" s="15" t="s">
        <v>182</v>
      </c>
      <c r="E15" s="11"/>
    </row>
    <row r="16" customFormat="false" ht="33.75" hidden="false" customHeight="true" outlineLevel="0" collapsed="false">
      <c r="A16" s="34" t="s">
        <v>183</v>
      </c>
      <c r="B16" s="15" t="s">
        <v>184</v>
      </c>
      <c r="C16" s="15" t="s">
        <v>185</v>
      </c>
      <c r="D16" s="15" t="s">
        <v>186</v>
      </c>
      <c r="E16" s="15" t="s">
        <v>187</v>
      </c>
    </row>
    <row r="17" customFormat="false" ht="69.75" hidden="false" customHeight="true" outlineLevel="0" collapsed="false">
      <c r="A17" s="36" t="s">
        <v>188</v>
      </c>
      <c r="B17" s="36"/>
      <c r="C17" s="36"/>
      <c r="D17" s="36"/>
      <c r="E17" s="36"/>
    </row>
    <row r="19" customFormat="false" ht="18" hidden="false" customHeight="true" outlineLevel="0" collapsed="false">
      <c r="A19" s="31" t="s">
        <v>189</v>
      </c>
      <c r="B19" s="31"/>
      <c r="C19" s="31"/>
      <c r="D19" s="31"/>
      <c r="E19" s="31"/>
    </row>
    <row r="20" customFormat="false" ht="15" hidden="false" customHeight="false" outlineLevel="0" collapsed="false">
      <c r="A20" s="37" t="s">
        <v>190</v>
      </c>
      <c r="B20" s="38" t="s">
        <v>105</v>
      </c>
      <c r="C20" s="38" t="s">
        <v>106</v>
      </c>
      <c r="D20" s="38" t="s">
        <v>107</v>
      </c>
      <c r="E20" s="37" t="s">
        <v>131</v>
      </c>
    </row>
    <row r="21" customFormat="false" ht="45.75" hidden="false" customHeight="true" outlineLevel="0" collapsed="false">
      <c r="A21" s="10" t="s">
        <v>191</v>
      </c>
      <c r="B21" s="39" t="s">
        <v>192</v>
      </c>
      <c r="C21" s="40" t="s">
        <v>193</v>
      </c>
      <c r="D21" s="40" t="s">
        <v>194</v>
      </c>
      <c r="E21" s="39" t="s">
        <v>195</v>
      </c>
    </row>
    <row r="22" customFormat="false" ht="45.75" hidden="false" customHeight="true" outlineLevel="0" collapsed="false">
      <c r="A22" s="10" t="s">
        <v>196</v>
      </c>
      <c r="B22" s="39" t="s">
        <v>197</v>
      </c>
      <c r="C22" s="39" t="s">
        <v>198</v>
      </c>
      <c r="D22" s="40" t="s">
        <v>199</v>
      </c>
      <c r="E22" s="40" t="s">
        <v>200</v>
      </c>
    </row>
    <row r="23" customFormat="false" ht="45.75" hidden="false" customHeight="true" outlineLevel="0" collapsed="false">
      <c r="A23" s="10" t="s">
        <v>201</v>
      </c>
      <c r="B23" s="40" t="s">
        <v>202</v>
      </c>
      <c r="C23" s="40" t="s">
        <v>203</v>
      </c>
      <c r="D23" s="40" t="s">
        <v>204</v>
      </c>
      <c r="E23" s="40" t="s">
        <v>205</v>
      </c>
    </row>
    <row r="24" customFormat="false" ht="45.75" hidden="false" customHeight="true" outlineLevel="0" collapsed="false">
      <c r="A24" s="10" t="s">
        <v>206</v>
      </c>
      <c r="B24" s="39" t="s">
        <v>207</v>
      </c>
      <c r="C24" s="39" t="s">
        <v>208</v>
      </c>
      <c r="D24" s="39" t="s">
        <v>209</v>
      </c>
      <c r="E24" s="40" t="s">
        <v>210</v>
      </c>
    </row>
    <row r="25" customFormat="false" ht="45.75" hidden="false" customHeight="true" outlineLevel="0" collapsed="false">
      <c r="A25" s="41" t="s">
        <v>211</v>
      </c>
      <c r="B25" s="39" t="s">
        <v>212</v>
      </c>
      <c r="C25" s="39" t="s">
        <v>213</v>
      </c>
      <c r="D25" s="39" t="s">
        <v>214</v>
      </c>
      <c r="E25" s="39" t="s">
        <v>215</v>
      </c>
    </row>
    <row r="26" customFormat="false" ht="45.75" hidden="false" customHeight="true" outlineLevel="0" collapsed="false">
      <c r="A26" s="10" t="s">
        <v>216</v>
      </c>
      <c r="B26" s="40" t="s">
        <v>217</v>
      </c>
      <c r="C26" s="40" t="s">
        <v>218</v>
      </c>
      <c r="D26" s="40" t="s">
        <v>219</v>
      </c>
      <c r="E26" s="39" t="s">
        <v>220</v>
      </c>
    </row>
    <row r="27" customFormat="false" ht="45.75" hidden="false" customHeight="true" outlineLevel="0" collapsed="false">
      <c r="A27" s="10" t="s">
        <v>221</v>
      </c>
      <c r="B27" s="40" t="s">
        <v>218</v>
      </c>
      <c r="C27" s="40" t="s">
        <v>218</v>
      </c>
      <c r="D27" s="40" t="s">
        <v>222</v>
      </c>
      <c r="E27" s="39" t="s">
        <v>223</v>
      </c>
    </row>
    <row r="28" customFormat="false" ht="45.75" hidden="false" customHeight="true" outlineLevel="0" collapsed="false">
      <c r="A28" s="10" t="s">
        <v>224</v>
      </c>
      <c r="B28" s="40" t="s">
        <v>218</v>
      </c>
      <c r="C28" s="40" t="s">
        <v>225</v>
      </c>
      <c r="D28" s="40" t="s">
        <v>226</v>
      </c>
      <c r="E28" s="40" t="s">
        <v>227</v>
      </c>
    </row>
    <row r="29" customFormat="false" ht="45.75" hidden="false" customHeight="true" outlineLevel="0" collapsed="false">
      <c r="A29" s="10" t="s">
        <v>228</v>
      </c>
      <c r="B29" s="40" t="s">
        <v>218</v>
      </c>
      <c r="C29" s="40" t="s">
        <v>229</v>
      </c>
      <c r="D29" s="40" t="s">
        <v>230</v>
      </c>
      <c r="E29" s="39" t="s">
        <v>231</v>
      </c>
    </row>
    <row r="30" customFormat="false" ht="45.75" hidden="false" customHeight="true" outlineLevel="0" collapsed="false">
      <c r="A30" s="10" t="s">
        <v>232</v>
      </c>
      <c r="B30" s="40" t="s">
        <v>233</v>
      </c>
      <c r="C30" s="40" t="s">
        <v>234</v>
      </c>
      <c r="D30" s="40" t="s">
        <v>235</v>
      </c>
      <c r="E30" s="39" t="s">
        <v>236</v>
      </c>
    </row>
    <row r="31" customFormat="false" ht="45.75" hidden="false" customHeight="true" outlineLevel="0" collapsed="false">
      <c r="A31" s="10" t="s">
        <v>237</v>
      </c>
      <c r="B31" s="40" t="s">
        <v>238</v>
      </c>
      <c r="C31" s="39" t="s">
        <v>239</v>
      </c>
      <c r="D31" s="40" t="s">
        <v>240</v>
      </c>
      <c r="E31" s="40" t="s">
        <v>241</v>
      </c>
    </row>
    <row r="32" customFormat="false" ht="45.75" hidden="false" customHeight="true" outlineLevel="0" collapsed="false">
      <c r="A32" s="10" t="s">
        <v>242</v>
      </c>
      <c r="B32" s="40" t="s">
        <v>243</v>
      </c>
      <c r="C32" s="39" t="s">
        <v>244</v>
      </c>
      <c r="D32" s="39" t="s">
        <v>245</v>
      </c>
      <c r="E32" s="39" t="s">
        <v>246</v>
      </c>
    </row>
    <row r="33" customFormat="false" ht="45.75" hidden="false" customHeight="true" outlineLevel="0" collapsed="false">
      <c r="A33" s="10" t="s">
        <v>247</v>
      </c>
      <c r="B33" s="40" t="s">
        <v>248</v>
      </c>
      <c r="C33" s="39" t="s">
        <v>249</v>
      </c>
      <c r="D33" s="40" t="s">
        <v>250</v>
      </c>
      <c r="E33" s="40" t="s">
        <v>251</v>
      </c>
    </row>
    <row r="34" customFormat="false" ht="45.75" hidden="false" customHeight="true" outlineLevel="0" collapsed="false">
      <c r="A34" s="10" t="s">
        <v>252</v>
      </c>
      <c r="B34" s="39" t="s">
        <v>253</v>
      </c>
      <c r="C34" s="40" t="s">
        <v>254</v>
      </c>
      <c r="D34" s="40" t="s">
        <v>254</v>
      </c>
      <c r="E34" s="39" t="s">
        <v>255</v>
      </c>
    </row>
    <row r="36" customFormat="false" ht="14.9" hidden="false" customHeight="false" outlineLevel="0" collapsed="false">
      <c r="A36" s="42" t="s">
        <v>256</v>
      </c>
      <c r="B36" s="42"/>
      <c r="C36" s="42"/>
      <c r="D36" s="42"/>
      <c r="E36" s="42"/>
    </row>
    <row r="37" customFormat="false" ht="72" hidden="false" customHeight="true" outlineLevel="0" collapsed="false">
      <c r="A37" s="36" t="s">
        <v>257</v>
      </c>
      <c r="B37" s="36"/>
      <c r="C37" s="36"/>
      <c r="D37" s="36"/>
      <c r="E37" s="36"/>
    </row>
    <row r="38" customFormat="false" ht="72" hidden="false" customHeight="true" outlineLevel="0" collapsed="false">
      <c r="A38" s="36" t="s">
        <v>258</v>
      </c>
      <c r="B38" s="36"/>
      <c r="C38" s="36"/>
      <c r="D38" s="36"/>
      <c r="E38" s="36"/>
    </row>
    <row r="39" customFormat="false" ht="72" hidden="false" customHeight="true" outlineLevel="0" collapsed="false">
      <c r="A39" s="36" t="s">
        <v>259</v>
      </c>
      <c r="B39" s="36"/>
      <c r="C39" s="36"/>
      <c r="D39" s="36"/>
      <c r="E39" s="36"/>
    </row>
    <row r="40" customFormat="false" ht="72" hidden="false" customHeight="true" outlineLevel="0" collapsed="false">
      <c r="A40" s="36" t="s">
        <v>260</v>
      </c>
      <c r="B40" s="36"/>
      <c r="C40" s="36"/>
      <c r="D40" s="36"/>
      <c r="E40" s="36"/>
    </row>
    <row r="42" customFormat="false" ht="14.9" hidden="false" customHeight="false" outlineLevel="0" collapsed="false">
      <c r="A42" s="42" t="s">
        <v>261</v>
      </c>
      <c r="B42" s="42"/>
      <c r="C42" s="42"/>
      <c r="D42" s="42"/>
      <c r="E42" s="42"/>
    </row>
    <row r="43" customFormat="false" ht="57.75" hidden="false" customHeight="true" outlineLevel="0" collapsed="false">
      <c r="A43" s="10" t="s">
        <v>262</v>
      </c>
      <c r="B43" s="40" t="s">
        <v>263</v>
      </c>
      <c r="C43" s="40"/>
      <c r="D43" s="40"/>
      <c r="E43" s="40"/>
    </row>
    <row r="44" customFormat="false" ht="57.75" hidden="false" customHeight="true" outlineLevel="0" collapsed="false">
      <c r="A44" s="10" t="s">
        <v>264</v>
      </c>
      <c r="B44" s="40" t="s">
        <v>265</v>
      </c>
      <c r="C44" s="40"/>
      <c r="D44" s="40"/>
      <c r="E44" s="40"/>
    </row>
    <row r="45" customFormat="false" ht="57.75" hidden="false" customHeight="true" outlineLevel="0" collapsed="false">
      <c r="A45" s="10" t="s">
        <v>266</v>
      </c>
      <c r="B45" s="39" t="s">
        <v>267</v>
      </c>
      <c r="C45" s="39"/>
      <c r="D45" s="39"/>
      <c r="E45" s="39"/>
    </row>
    <row r="46" customFormat="false" ht="57.75" hidden="false" customHeight="true" outlineLevel="0" collapsed="false">
      <c r="A46" s="10" t="s">
        <v>268</v>
      </c>
      <c r="B46" s="39" t="s">
        <v>269</v>
      </c>
      <c r="C46" s="39"/>
      <c r="D46" s="39"/>
      <c r="E46" s="39"/>
    </row>
    <row r="47" customFormat="false" ht="57.75" hidden="false" customHeight="true" outlineLevel="0" collapsed="false">
      <c r="A47" s="10" t="s">
        <v>270</v>
      </c>
      <c r="B47" s="40" t="s">
        <v>271</v>
      </c>
      <c r="C47" s="40"/>
      <c r="D47" s="40"/>
      <c r="E47" s="40"/>
    </row>
    <row r="48" customFormat="false" ht="57.75" hidden="false" customHeight="true" outlineLevel="0" collapsed="false">
      <c r="A48" s="10" t="s">
        <v>272</v>
      </c>
      <c r="B48" s="39" t="s">
        <v>273</v>
      </c>
      <c r="C48" s="39"/>
      <c r="D48" s="39"/>
      <c r="E48" s="39"/>
    </row>
  </sheetData>
  <mergeCells count="17">
    <mergeCell ref="A1:E1"/>
    <mergeCell ref="A2:E2"/>
    <mergeCell ref="A3:E3"/>
    <mergeCell ref="A17:E17"/>
    <mergeCell ref="A19:E19"/>
    <mergeCell ref="A36:E36"/>
    <mergeCell ref="A37:E37"/>
    <mergeCell ref="A38:E38"/>
    <mergeCell ref="A39:E39"/>
    <mergeCell ref="A40:E40"/>
    <mergeCell ref="A42:E42"/>
    <mergeCell ref="B43:E43"/>
    <mergeCell ref="B44:E44"/>
    <mergeCell ref="B45:E45"/>
    <mergeCell ref="B46:E46"/>
    <mergeCell ref="B47:E47"/>
    <mergeCell ref="B48:E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4" min="2" style="0" width="38"/>
  </cols>
  <sheetData>
    <row r="1" customFormat="false" ht="21.75" hidden="false" customHeight="true" outlineLevel="0" collapsed="false">
      <c r="A1" s="25" t="s">
        <v>274</v>
      </c>
      <c r="B1" s="25"/>
      <c r="C1" s="25"/>
      <c r="D1" s="25"/>
      <c r="E1" s="25"/>
      <c r="F1" s="25"/>
    </row>
    <row r="2" customFormat="false" ht="45.75" hidden="false" customHeight="true" outlineLevel="0" collapsed="false">
      <c r="A2" s="2" t="s">
        <v>275</v>
      </c>
      <c r="B2" s="2"/>
      <c r="C2" s="2"/>
      <c r="D2" s="2"/>
      <c r="E2" s="2"/>
      <c r="F2" s="2"/>
    </row>
    <row r="3" customFormat="false" ht="19.5" hidden="false" customHeight="true" outlineLevel="0" collapsed="false">
      <c r="A3" s="43" t="s">
        <v>276</v>
      </c>
      <c r="B3" s="43"/>
      <c r="C3" s="43"/>
      <c r="D3" s="43"/>
      <c r="E3" s="43"/>
      <c r="F3" s="43"/>
    </row>
    <row r="4" customFormat="false" ht="19.5" hidden="false" customHeight="true" outlineLevel="0" collapsed="false">
      <c r="A4" s="32" t="s">
        <v>277</v>
      </c>
      <c r="B4" s="33" t="s">
        <v>128</v>
      </c>
      <c r="C4" s="33" t="s">
        <v>278</v>
      </c>
      <c r="D4" s="33" t="s">
        <v>279</v>
      </c>
    </row>
    <row r="5" customFormat="false" ht="90" hidden="false" customHeight="true" outlineLevel="0" collapsed="false">
      <c r="A5" s="34" t="s">
        <v>280</v>
      </c>
      <c r="B5" s="15" t="s">
        <v>281</v>
      </c>
      <c r="C5" s="15" t="s">
        <v>282</v>
      </c>
      <c r="D5" s="15" t="s">
        <v>283</v>
      </c>
    </row>
    <row r="6" customFormat="false" ht="90" hidden="false" customHeight="true" outlineLevel="0" collapsed="false">
      <c r="A6" s="34" t="s">
        <v>284</v>
      </c>
      <c r="B6" s="15" t="s">
        <v>285</v>
      </c>
      <c r="C6" s="15" t="s">
        <v>286</v>
      </c>
      <c r="D6" s="15" t="s">
        <v>287</v>
      </c>
    </row>
    <row r="7" customFormat="false" ht="90" hidden="false" customHeight="true" outlineLevel="0" collapsed="false">
      <c r="A7" s="34" t="s">
        <v>288</v>
      </c>
      <c r="B7" s="15" t="s">
        <v>289</v>
      </c>
      <c r="C7" s="15" t="s">
        <v>290</v>
      </c>
      <c r="D7" s="15" t="s">
        <v>291</v>
      </c>
    </row>
    <row r="8" customFormat="false" ht="90" hidden="false" customHeight="true" outlineLevel="0" collapsed="false">
      <c r="A8" s="34" t="s">
        <v>292</v>
      </c>
      <c r="B8" s="15" t="s">
        <v>293</v>
      </c>
      <c r="C8" s="15" t="s">
        <v>294</v>
      </c>
      <c r="D8" s="15" t="s">
        <v>295</v>
      </c>
    </row>
    <row r="9" customFormat="false" ht="90" hidden="false" customHeight="true" outlineLevel="0" collapsed="false">
      <c r="A9" s="34" t="s">
        <v>296</v>
      </c>
      <c r="B9" s="15" t="s">
        <v>297</v>
      </c>
      <c r="C9" s="15" t="s">
        <v>298</v>
      </c>
      <c r="D9" s="15" t="s">
        <v>299</v>
      </c>
    </row>
    <row r="10" customFormat="false" ht="129.75" hidden="false" customHeight="true" outlineLevel="0" collapsed="false">
      <c r="A10" s="36" t="s">
        <v>300</v>
      </c>
      <c r="B10" s="36"/>
      <c r="C10" s="36"/>
      <c r="D10" s="36"/>
    </row>
  </sheetData>
  <mergeCells count="4">
    <mergeCell ref="A1:F1"/>
    <mergeCell ref="A2:F2"/>
    <mergeCell ref="A3:F3"/>
    <mergeCell ref="A10:D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4" min="2" style="0" width="34"/>
  </cols>
  <sheetData>
    <row r="1" customFormat="false" ht="21.75" hidden="false" customHeight="true" outlineLevel="0" collapsed="false">
      <c r="A1" s="25" t="s">
        <v>301</v>
      </c>
      <c r="B1" s="25"/>
      <c r="C1" s="25"/>
      <c r="D1" s="25"/>
      <c r="E1" s="25"/>
    </row>
    <row r="2" customFormat="false" ht="33.75" hidden="false" customHeight="true" outlineLevel="0" collapsed="false">
      <c r="A2" s="2" t="s">
        <v>302</v>
      </c>
      <c r="B2" s="2"/>
      <c r="C2" s="2"/>
      <c r="D2" s="2"/>
      <c r="E2" s="2"/>
    </row>
    <row r="3" customFormat="false" ht="15" hidden="false" customHeight="false" outlineLevel="0" collapsed="false">
      <c r="A3" s="32"/>
      <c r="B3" s="33" t="s">
        <v>128</v>
      </c>
      <c r="C3" s="33" t="s">
        <v>303</v>
      </c>
      <c r="D3" s="33" t="s">
        <v>304</v>
      </c>
    </row>
    <row r="4" customFormat="false" ht="60" hidden="false" customHeight="true" outlineLevel="0" collapsed="false">
      <c r="A4" s="10" t="s">
        <v>305</v>
      </c>
      <c r="B4" s="39" t="s">
        <v>306</v>
      </c>
      <c r="C4" s="39" t="s">
        <v>307</v>
      </c>
      <c r="D4" s="39" t="s">
        <v>308</v>
      </c>
    </row>
    <row r="5" customFormat="false" ht="60" hidden="false" customHeight="true" outlineLevel="0" collapsed="false">
      <c r="A5" s="10" t="s">
        <v>309</v>
      </c>
      <c r="B5" s="39" t="s">
        <v>310</v>
      </c>
      <c r="C5" s="39" t="s">
        <v>311</v>
      </c>
      <c r="D5" s="39" t="s">
        <v>312</v>
      </c>
    </row>
    <row r="6" customFormat="false" ht="60" hidden="false" customHeight="true" outlineLevel="0" collapsed="false">
      <c r="A6" s="10" t="s">
        <v>313</v>
      </c>
      <c r="B6" s="39" t="s">
        <v>314</v>
      </c>
      <c r="C6" s="39" t="s">
        <v>315</v>
      </c>
      <c r="D6" s="39" t="s">
        <v>316</v>
      </c>
    </row>
    <row r="7" customFormat="false" ht="60" hidden="false" customHeight="true" outlineLevel="0" collapsed="false">
      <c r="A7" s="10" t="s">
        <v>317</v>
      </c>
      <c r="B7" s="40" t="s">
        <v>318</v>
      </c>
      <c r="C7" s="39" t="s">
        <v>319</v>
      </c>
      <c r="D7" s="40" t="s">
        <v>320</v>
      </c>
    </row>
    <row r="8" customFormat="false" ht="90" hidden="false" customHeight="true" outlineLevel="0" collapsed="false">
      <c r="A8" s="10" t="s">
        <v>321</v>
      </c>
      <c r="B8" s="40" t="s">
        <v>322</v>
      </c>
      <c r="C8" s="40" t="s">
        <v>323</v>
      </c>
      <c r="D8" s="40" t="s">
        <v>324</v>
      </c>
    </row>
    <row r="10" customFormat="false" ht="18" hidden="false" customHeight="true" outlineLevel="0" collapsed="false">
      <c r="A10" s="31" t="s">
        <v>325</v>
      </c>
      <c r="B10" s="31"/>
      <c r="C10" s="31"/>
      <c r="D10" s="31"/>
    </row>
    <row r="11" customFormat="false" ht="129.75" hidden="false" customHeight="true" outlineLevel="0" collapsed="false">
      <c r="A11" s="41" t="s">
        <v>326</v>
      </c>
      <c r="B11" s="40" t="s">
        <v>327</v>
      </c>
      <c r="C11" s="40"/>
      <c r="D11" s="40"/>
    </row>
    <row r="12" customFormat="false" ht="129.75" hidden="false" customHeight="true" outlineLevel="0" collapsed="false">
      <c r="A12" s="41" t="s">
        <v>328</v>
      </c>
      <c r="B12" s="40" t="s">
        <v>329</v>
      </c>
      <c r="C12" s="40"/>
      <c r="D12" s="40"/>
    </row>
    <row r="13" customFormat="false" ht="129.75" hidden="false" customHeight="true" outlineLevel="0" collapsed="false">
      <c r="A13" s="41" t="s">
        <v>330</v>
      </c>
      <c r="B13" s="40" t="s">
        <v>331</v>
      </c>
      <c r="C13" s="40"/>
      <c r="D13" s="40"/>
    </row>
    <row r="15" customFormat="false" ht="15" hidden="false" customHeight="false" outlineLevel="0" collapsed="false">
      <c r="A15" s="31" t="s">
        <v>332</v>
      </c>
      <c r="B15" s="31"/>
      <c r="C15" s="31"/>
      <c r="D15" s="31"/>
    </row>
    <row r="16" customFormat="false" ht="30" hidden="false" customHeight="true" outlineLevel="0" collapsed="false">
      <c r="A16" s="44" t="s">
        <v>333</v>
      </c>
      <c r="B16" s="44"/>
      <c r="C16" s="44"/>
      <c r="D16" s="44"/>
    </row>
    <row r="17" customFormat="false" ht="30" hidden="false" customHeight="true" outlineLevel="0" collapsed="false">
      <c r="A17" s="44" t="s">
        <v>334</v>
      </c>
      <c r="B17" s="44"/>
      <c r="C17" s="44"/>
      <c r="D17" s="44"/>
    </row>
    <row r="18" customFormat="false" ht="30" hidden="false" customHeight="true" outlineLevel="0" collapsed="false">
      <c r="A18" s="44" t="s">
        <v>335</v>
      </c>
      <c r="B18" s="44"/>
      <c r="C18" s="44"/>
      <c r="D18" s="44"/>
    </row>
    <row r="19" customFormat="false" ht="30" hidden="false" customHeight="true" outlineLevel="0" collapsed="false">
      <c r="A19" s="44" t="s">
        <v>336</v>
      </c>
      <c r="B19" s="44"/>
      <c r="C19" s="44"/>
      <c r="D19" s="44"/>
    </row>
  </sheetData>
  <mergeCells count="11">
    <mergeCell ref="A1:E1"/>
    <mergeCell ref="A2:E2"/>
    <mergeCell ref="A10:D10"/>
    <mergeCell ref="B11:D11"/>
    <mergeCell ref="B12:D12"/>
    <mergeCell ref="B13:D13"/>
    <mergeCell ref="A15:D15"/>
    <mergeCell ref="A16:D16"/>
    <mergeCell ref="A17:D17"/>
    <mergeCell ref="A18:D18"/>
    <mergeCell ref="A19:D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2026-08-13T08:40:22Z</dcterms:created>
  <dc:creator>openpyxl</dc:creator>
  <dc:description/>
  <dc:language>en-US</dc:language>
  <cp:lastModifiedBy/>
  <dcterms:modified xsi:type="dcterms:W3CDTF">2026-08-13T08:40:22Z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