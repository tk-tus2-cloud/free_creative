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採点表（仮採点・理由）" sheetId="1" state="visible" r:id="rId3"/>
    <sheet name="サマリ" sheetId="2" state="visible" r:id="rId4"/>
    <sheet name="金額差分析"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<sst xmlns="http://schemas.openxmlformats.org/spreadsheetml/2006/main" count="215" uniqueCount="200">
  <si>
    <r>
      <rPr>
        <b val="true"/>
        <sz val="14"/>
        <color rgb="FFFFFFFF"/>
        <rFont val="WenQuanYi Zen Hei"/>
        <family val="2"/>
      </rPr>
      <t xml:space="preserve">提案評価 採点シート｜</t>
    </r>
    <r>
      <rPr>
        <b val="true"/>
        <sz val="14"/>
        <color rgb="FFFFFFFF"/>
        <rFont val="Meiryo"/>
        <family val="0"/>
        <charset val="1"/>
      </rPr>
      <t xml:space="preserve">SSBJ</t>
    </r>
    <r>
      <rPr>
        <b val="true"/>
        <sz val="14"/>
        <color rgb="FFFFFFFF"/>
        <rFont val="WenQuanYi Zen Hei"/>
        <family val="2"/>
      </rPr>
      <t xml:space="preserve">対応 要求定義支援ファーム選定（書面ベースの仮採点）</t>
    </r>
  </si>
  <si>
    <r>
      <rPr>
        <sz val="9"/>
        <color rgb="FF000000"/>
        <rFont val="WenQuanYi Zen Hei"/>
        <family val="2"/>
      </rPr>
      <t xml:space="preserve">※本シートは提案書（書面）のみに基づく仮採点。採点ルール「書面評価は仮採点とし、コンペ質疑の回答を反映した確定素点のみ本シートに記入」に従い、黄色セル（質疑確認事項を含む項目）はコンペ質疑後に見直しのこと。得点＝配点</t>
    </r>
    <r>
      <rPr>
        <sz val="9"/>
        <color rgb="FF000000"/>
        <rFont val="Meiryo"/>
        <family val="0"/>
        <charset val="1"/>
      </rPr>
      <t xml:space="preserve">×</t>
    </r>
    <r>
      <rPr>
        <sz val="9"/>
        <color rgb="FF000000"/>
        <rFont val="WenQuanYi Zen Hei"/>
        <family val="2"/>
      </rPr>
      <t xml:space="preserve">素点</t>
    </r>
    <r>
      <rPr>
        <sz val="9"/>
        <color rgb="FF000000"/>
        <rFont val="Meiryo"/>
        <family val="0"/>
        <charset val="1"/>
      </rPr>
      <t xml:space="preserve">÷5</t>
    </r>
    <r>
      <rPr>
        <sz val="9"/>
        <color rgb="FF000000"/>
        <rFont val="WenQuanYi Zen Hei"/>
        <family val="2"/>
      </rPr>
      <t xml:space="preserve">（小数第</t>
    </r>
    <r>
      <rPr>
        <sz val="9"/>
        <color rgb="FF000000"/>
        <rFont val="Meiryo"/>
        <family val="0"/>
        <charset val="1"/>
      </rPr>
      <t xml:space="preserve">1</t>
    </r>
    <r>
      <rPr>
        <sz val="9"/>
        <color rgb="FF000000"/>
        <rFont val="WenQuanYi Zen Hei"/>
        <family val="2"/>
      </rPr>
      <t xml:space="preserve">位）。裏付け（実名・事例・数値）のない主張は素点</t>
    </r>
    <r>
      <rPr>
        <sz val="9"/>
        <color rgb="FF000000"/>
        <rFont val="Meiryo"/>
        <family val="0"/>
        <charset val="1"/>
      </rPr>
      <t xml:space="preserve">3</t>
    </r>
    <r>
      <rPr>
        <sz val="9"/>
        <color rgb="FF000000"/>
        <rFont val="WenQuanYi Zen Hei"/>
        <family val="2"/>
      </rPr>
      <t xml:space="preserve">を上限として採点。</t>
    </r>
  </si>
  <si>
    <t xml:space="preserve">No.</t>
  </si>
  <si>
    <t xml:space="preserve">採点項目</t>
  </si>
  <si>
    <t xml:space="preserve">評価の着眼点</t>
  </si>
  <si>
    <t xml:space="preserve">配点</t>
  </si>
  <si>
    <r>
      <rPr>
        <b val="true"/>
        <sz val="10"/>
        <color rgb="FFFFFFFF"/>
        <rFont val="Meiryo"/>
        <family val="0"/>
        <charset val="1"/>
      </rPr>
      <t xml:space="preserve">A</t>
    </r>
    <r>
      <rPr>
        <b val="true"/>
        <sz val="10"/>
        <color rgb="FFFFFFFF"/>
        <rFont val="WenQuanYi Zen Hei"/>
        <family val="2"/>
      </rPr>
      <t xml:space="preserve">社：ライズ・コンサルティング</t>
    </r>
  </si>
  <si>
    <r>
      <rPr>
        <b val="true"/>
        <sz val="10"/>
        <color rgb="FFFFFFFF"/>
        <rFont val="Meiryo"/>
        <family val="0"/>
        <charset val="1"/>
      </rPr>
      <t xml:space="preserve">B</t>
    </r>
    <r>
      <rPr>
        <b val="true"/>
        <sz val="10"/>
        <color rgb="FFFFFFFF"/>
        <rFont val="WenQuanYi Zen Hei"/>
        <family val="2"/>
      </rPr>
      <t xml:space="preserve">社：</t>
    </r>
    <r>
      <rPr>
        <b val="true"/>
        <sz val="10"/>
        <color rgb="FFFFFFFF"/>
        <rFont val="Meiryo"/>
        <family val="0"/>
        <charset val="1"/>
      </rPr>
      <t xml:space="preserve">PwC</t>
    </r>
    <r>
      <rPr>
        <b val="true"/>
        <sz val="10"/>
        <color rgb="FFFFFFFF"/>
        <rFont val="WenQuanYi Zen Hei"/>
        <family val="2"/>
      </rPr>
      <t xml:space="preserve">コンサルティング</t>
    </r>
  </si>
  <si>
    <r>
      <rPr>
        <b val="true"/>
        <sz val="10"/>
        <color rgb="FFFFFFFF"/>
        <rFont val="Meiryo"/>
        <family val="0"/>
        <charset val="1"/>
      </rPr>
      <t xml:space="preserve">C</t>
    </r>
    <r>
      <rPr>
        <b val="true"/>
        <sz val="10"/>
        <color rgb="FFFFFFFF"/>
        <rFont val="WenQuanYi Zen Hei"/>
        <family val="2"/>
      </rPr>
      <t xml:space="preserve">社：アビームコンサルティング</t>
    </r>
  </si>
  <si>
    <t xml:space="preserve">素点</t>
  </si>
  <si>
    <t xml:space="preserve">得点</t>
  </si>
  <si>
    <t xml:space="preserve">評価理由（仮採点の根拠・質疑確認事項）</t>
  </si>
  <si>
    <r>
      <rPr>
        <b val="true"/>
        <sz val="10"/>
        <color rgb="FF000000"/>
        <rFont val="Meiryo"/>
        <family val="0"/>
        <charset val="1"/>
      </rPr>
      <t xml:space="preserve">Q</t>
    </r>
    <r>
      <rPr>
        <b val="true"/>
        <sz val="10"/>
        <color rgb="FF000000"/>
        <rFont val="WenQuanYi Zen Hei"/>
        <family val="2"/>
      </rPr>
      <t xml:space="preserve">｜</t>
    </r>
    <r>
      <rPr>
        <b val="true"/>
        <sz val="10"/>
        <color rgb="FF000000"/>
        <rFont val="Meiryo"/>
        <family val="0"/>
        <charset val="1"/>
      </rPr>
      <t xml:space="preserve">Quality</t>
    </r>
    <r>
      <rPr>
        <b val="true"/>
        <sz val="10"/>
        <color rgb="FF000000"/>
        <rFont val="WenQuanYi Zen Hei"/>
        <family val="2"/>
      </rPr>
      <t xml:space="preserve">（品質）— 提案内容と体制の質</t>
    </r>
  </si>
  <si>
    <t xml:space="preserve">Q1</t>
  </si>
  <si>
    <t xml:space="preserve">課題理解・前提の的確性</t>
  </si>
  <si>
    <r>
      <rPr>
        <sz val="8"/>
        <color rgb="FF000000"/>
        <rFont val="WenQuanYi Zen Hei"/>
        <family val="2"/>
      </rPr>
      <t xml:space="preserve">戦略とシステムの並行推進・手戻り許容の特殊前提と「</t>
    </r>
    <r>
      <rPr>
        <sz val="8"/>
        <color rgb="FF000000"/>
        <rFont val="Meiryo"/>
        <family val="0"/>
        <charset val="1"/>
      </rPr>
      <t xml:space="preserve">5</t>
    </r>
    <r>
      <rPr>
        <sz val="8"/>
        <color rgb="FF000000"/>
        <rFont val="WenQuanYi Zen Hei"/>
        <family val="2"/>
      </rPr>
      <t xml:space="preserve">つの難所」を提案全体に反映しているか</t>
    </r>
  </si>
  <si>
    <r>
      <rPr>
        <sz val="8"/>
        <color rgb="FF000000"/>
        <rFont val="Meiryo"/>
        <family val="0"/>
        <charset val="1"/>
      </rPr>
      <t xml:space="preserve">5</t>
    </r>
    <r>
      <rPr>
        <sz val="8"/>
        <color rgb="FF000000"/>
        <rFont val="WenQuanYi Zen Hei"/>
        <family val="2"/>
      </rPr>
      <t xml:space="preserve">つの難所を提案の骨格（課題認識→アプローチ→成果物）に一貫して使用。難所</t>
    </r>
    <r>
      <rPr>
        <sz val="8"/>
        <color rgb="FF000000"/>
        <rFont val="Meiryo"/>
        <family val="0"/>
        <charset val="1"/>
      </rPr>
      <t xml:space="preserve">1</t>
    </r>
    <r>
      <rPr>
        <sz val="8"/>
        <color rgb="FF000000"/>
        <rFont val="WenQuanYi Zen Hei"/>
        <family val="2"/>
      </rPr>
      <t xml:space="preserve">・</t>
    </r>
    <r>
      <rPr>
        <sz val="8"/>
        <color rgb="FF000000"/>
        <rFont val="Meiryo"/>
        <family val="0"/>
        <charset val="1"/>
      </rPr>
      <t xml:space="preserve">5</t>
    </r>
    <r>
      <rPr>
        <sz val="8"/>
        <color rgb="FF000000"/>
        <rFont val="WenQuanYi Zen Hei"/>
        <family val="2"/>
      </rPr>
      <t xml:space="preserve">の先行検討と「条件付き要件」で戦略並行・手戻り許容の特殊前提に対応しており、要求を満たし先回りもある。</t>
    </r>
  </si>
  <si>
    <r>
      <rPr>
        <sz val="8"/>
        <color rgb="FF000000"/>
        <rFont val="Meiryo"/>
        <family val="0"/>
        <charset val="1"/>
      </rPr>
      <t xml:space="preserve">5</t>
    </r>
    <r>
      <rPr>
        <sz val="8"/>
        <color rgb="FF000000"/>
        <rFont val="WenQuanYi Zen Hei"/>
        <family val="2"/>
      </rPr>
      <t xml:space="preserve">つの難所に独自の難所⑥（複数</t>
    </r>
    <r>
      <rPr>
        <sz val="8"/>
        <color rgb="FF000000"/>
        <rFont val="Meiryo"/>
        <family val="0"/>
        <charset val="1"/>
      </rPr>
      <t xml:space="preserve">WS</t>
    </r>
    <r>
      <rPr>
        <sz val="8"/>
        <color rgb="FF000000"/>
        <rFont val="WenQuanYi Zen Hei"/>
        <family val="2"/>
      </rPr>
      <t xml:space="preserve">の変更連鎖管理）⑦（全世界拠点への定着）を追加し</t>
    </r>
    <r>
      <rPr>
        <sz val="8"/>
        <color rgb="FF000000"/>
        <rFont val="Meiryo"/>
        <family val="0"/>
        <charset val="1"/>
      </rPr>
      <t xml:space="preserve">2029</t>
    </r>
    <r>
      <rPr>
        <sz val="8"/>
        <color rgb="FF000000"/>
        <rFont val="WenQuanYi Zen Hei"/>
        <family val="2"/>
      </rPr>
      <t xml:space="preserve">年開示から逆算のロードマップを提示（独自知見）。一方で標準線表が</t>
    </r>
    <r>
      <rPr>
        <sz val="8"/>
        <color rgb="FF000000"/>
        <rFont val="Meiryo"/>
        <family val="0"/>
        <charset val="1"/>
      </rPr>
      <t xml:space="preserve">RFP</t>
    </r>
    <r>
      <rPr>
        <sz val="8"/>
        <color rgb="FF000000"/>
        <rFont val="WenQuanYi Zen Hei"/>
        <family val="2"/>
      </rPr>
      <t xml:space="preserve">発出</t>
    </r>
    <r>
      <rPr>
        <sz val="8"/>
        <color rgb="FF000000"/>
        <rFont val="Meiryo"/>
        <family val="0"/>
        <charset val="1"/>
      </rPr>
      <t xml:space="preserve">12</t>
    </r>
    <r>
      <rPr>
        <sz val="8"/>
        <color rgb="FF000000"/>
        <rFont val="WenQuanYi Zen Hei"/>
        <family val="2"/>
      </rPr>
      <t xml:space="preserve">月末（仮）となっており、</t>
    </r>
    <r>
      <rPr>
        <sz val="8"/>
        <color rgb="FF000000"/>
        <rFont val="Meiryo"/>
        <family val="0"/>
        <charset val="1"/>
      </rPr>
      <t xml:space="preserve">11</t>
    </r>
    <r>
      <rPr>
        <sz val="8"/>
        <color rgb="FF000000"/>
        <rFont val="WenQuanYi Zen Hei"/>
        <family val="2"/>
      </rPr>
      <t xml:space="preserve">月末</t>
    </r>
    <r>
      <rPr>
        <sz val="8"/>
        <color rgb="FF000000"/>
        <rFont val="Meiryo"/>
        <family val="0"/>
        <charset val="1"/>
      </rPr>
      <t xml:space="preserve">RFP</t>
    </r>
    <r>
      <rPr>
        <sz val="8"/>
        <color rgb="FF000000"/>
        <rFont val="WenQuanYi Zen Hei"/>
        <family val="2"/>
      </rPr>
      <t xml:space="preserve">完了という貴社の時間軸理解にズレ。</t>
    </r>
  </si>
  <si>
    <r>
      <rPr>
        <sz val="8"/>
        <color rgb="FF000000"/>
        <rFont val="WenQuanYi Zen Hei"/>
        <family val="2"/>
      </rPr>
      <t xml:space="preserve">「戦略確定を待てない環境でのアジャイル型要件定義」「</t>
    </r>
    <r>
      <rPr>
        <sz val="8"/>
        <color rgb="FF000000"/>
        <rFont val="Meiryo"/>
        <family val="0"/>
        <charset val="1"/>
      </rPr>
      <t xml:space="preserve">2028</t>
    </r>
    <r>
      <rPr>
        <sz val="8"/>
        <color rgb="FF000000"/>
        <rFont val="WenQuanYi Zen Hei"/>
        <family val="2"/>
      </rPr>
      <t xml:space="preserve">年</t>
    </r>
    <r>
      <rPr>
        <sz val="8"/>
        <color rgb="FF000000"/>
        <rFont val="Meiryo"/>
        <family val="0"/>
        <charset val="1"/>
      </rPr>
      <t xml:space="preserve">1</t>
    </r>
    <r>
      <rPr>
        <sz val="8"/>
        <color rgb="FF000000"/>
        <rFont val="WenQuanYi Zen Hei"/>
        <family val="2"/>
      </rPr>
      <t xml:space="preserve">月本番収集からの逆算」と特殊前提を明文化。</t>
    </r>
    <r>
      <rPr>
        <sz val="8"/>
        <color rgb="FF000000"/>
        <rFont val="Meiryo"/>
        <family val="0"/>
        <charset val="1"/>
      </rPr>
      <t xml:space="preserve">Cat11</t>
    </r>
    <r>
      <rPr>
        <sz val="8"/>
        <color rgb="FF000000"/>
        <rFont val="WenQuanYi Zen Hei"/>
        <family val="2"/>
      </rPr>
      <t xml:space="preserve">が主戦場・すすぎ回数等の使用条件シナリオまで貴社固有の事業構造を反映し、難所別に「落とし穴と回避策＋貴社の予防アクション」まで提示。想定超の理解度。</t>
    </r>
  </si>
  <si>
    <t xml:space="preserve">Q2</t>
  </si>
  <si>
    <t xml:space="preserve">アジャイル型要件定義の方法論</t>
  </si>
  <si>
    <r>
      <rPr>
        <sz val="8"/>
        <color rgb="FF000000"/>
        <rFont val="WenQuanYi Zen Hei"/>
        <family val="2"/>
      </rPr>
      <t xml:space="preserve">戦略変更時に「変えない骨格／作り直す部分」を切り分ける設計手順と</t>
    </r>
    <r>
      <rPr>
        <sz val="8"/>
        <color rgb="FF000000"/>
        <rFont val="Meiryo"/>
        <family val="0"/>
        <charset val="1"/>
      </rPr>
      <t xml:space="preserve">Fit&amp;Gap</t>
    </r>
    <r>
      <rPr>
        <sz val="8"/>
        <color rgb="FF000000"/>
        <rFont val="WenQuanYi Zen Hei"/>
        <family val="2"/>
      </rPr>
      <t xml:space="preserve">の進め方が具体的か</t>
    </r>
  </si>
  <si>
    <r>
      <rPr>
        <sz val="8"/>
        <color rgb="FF000000"/>
        <rFont val="WenQuanYi Zen Hei"/>
        <family val="2"/>
      </rPr>
      <t xml:space="preserve">「凍結要件／条件付き要件」の二分法と、条件付き要件の追加整理</t>
    </r>
    <r>
      <rPr>
        <sz val="8"/>
        <color rgb="FF000000"/>
        <rFont val="Meiryo"/>
        <family val="0"/>
        <charset val="1"/>
      </rPr>
      <t xml:space="preserve">5</t>
    </r>
    <r>
      <rPr>
        <sz val="8"/>
        <color rgb="FF000000"/>
        <rFont val="WenQuanYi Zen Hei"/>
        <family val="2"/>
      </rPr>
      <t xml:space="preserve">項目（基本案・想定シナリオ・変動範囲・決定者と期限・影響範囲）は手順として具体的。ただし本方法論の適用実績（社名・事例・数値）の裏付けがなく、ルール上素点</t>
    </r>
    <r>
      <rPr>
        <sz val="8"/>
        <color rgb="FF000000"/>
        <rFont val="Meiryo"/>
        <family val="0"/>
        <charset val="1"/>
      </rPr>
      <t xml:space="preserve">3</t>
    </r>
    <r>
      <rPr>
        <sz val="8"/>
        <color rgb="FF000000"/>
        <rFont val="WenQuanYi Zen Hei"/>
        <family val="2"/>
      </rPr>
      <t xml:space="preserve">が上限。質疑で適用事例を確認したい。</t>
    </r>
  </si>
  <si>
    <r>
      <rPr>
        <sz val="8"/>
        <color rgb="FF000000"/>
        <rFont val="WenQuanYi Zen Hei"/>
        <family val="2"/>
      </rPr>
      <t xml:space="preserve">検討事項・論点リスト（</t>
    </r>
    <r>
      <rPr>
        <sz val="8"/>
        <color rgb="FF000000"/>
        <rFont val="Meiryo"/>
        <family val="0"/>
        <charset val="1"/>
      </rPr>
      <t xml:space="preserve">9</t>
    </r>
    <r>
      <rPr>
        <sz val="8"/>
        <color rgb="FF000000"/>
        <rFont val="WenQuanYi Zen Hei"/>
        <family val="2"/>
      </rPr>
      <t xml:space="preserve">頁分）は網羅的だが、「変えない骨格／作り直す部分」を切り分ける設計手順や</t>
    </r>
    <r>
      <rPr>
        <sz val="8"/>
        <color rgb="FF000000"/>
        <rFont val="Meiryo"/>
        <family val="0"/>
        <charset val="1"/>
      </rPr>
      <t xml:space="preserve">Fit&amp;Gap</t>
    </r>
    <r>
      <rPr>
        <sz val="8"/>
        <color rgb="FF000000"/>
        <rFont val="WenQuanYi Zen Hei"/>
        <family val="2"/>
      </rPr>
      <t xml:space="preserve">の進め方の明示なし。ルール策定・ロジックは「貴社にて策定済み想定」と前提を置いており、戦略変更時の手戻り吸収の設計が提案上弱い。</t>
    </r>
  </si>
  <si>
    <r>
      <rPr>
        <sz val="8"/>
        <color rgb="FF000000"/>
        <rFont val="WenQuanYi Zen Hei"/>
        <family val="2"/>
      </rPr>
      <t xml:space="preserve">「戦略依存</t>
    </r>
    <r>
      <rPr>
        <sz val="8"/>
        <color rgb="FF000000"/>
        <rFont val="Meiryo"/>
        <family val="0"/>
        <charset val="1"/>
      </rPr>
      <t xml:space="preserve">×Must/Should/Could</t>
    </r>
    <r>
      <rPr>
        <sz val="8"/>
        <color rgb="FF000000"/>
        <rFont val="WenQuanYi Zen Hei"/>
        <family val="2"/>
      </rPr>
      <t xml:space="preserve">」の</t>
    </r>
    <r>
      <rPr>
        <sz val="8"/>
        <color rgb="FF000000"/>
        <rFont val="Meiryo"/>
        <family val="0"/>
        <charset val="1"/>
      </rPr>
      <t xml:space="preserve">2</t>
    </r>
    <r>
      <rPr>
        <sz val="8"/>
        <color rgb="FF000000"/>
        <rFont val="WenQuanYi Zen Hei"/>
        <family val="2"/>
      </rPr>
      <t xml:space="preserve">軸</t>
    </r>
    <r>
      <rPr>
        <sz val="8"/>
        <color rgb="FF000000"/>
        <rFont val="Meiryo"/>
        <family val="0"/>
        <charset val="1"/>
      </rPr>
      <t xml:space="preserve">4</t>
    </r>
    <r>
      <rPr>
        <sz val="8"/>
        <color rgb="FF000000"/>
        <rFont val="WenQuanYi Zen Hei"/>
        <family val="2"/>
      </rPr>
      <t xml:space="preserve">象限で確定順序を設計し、変えない骨格（組織マスタ・証憑統制・</t>
    </r>
    <r>
      <rPr>
        <sz val="8"/>
        <color rgb="FF000000"/>
        <rFont val="Meiryo"/>
        <family val="0"/>
        <charset val="1"/>
      </rPr>
      <t xml:space="preserve">Scope1/2</t>
    </r>
    <r>
      <rPr>
        <sz val="8"/>
        <color rgb="FF000000"/>
        <rFont val="WenQuanYi Zen Hei"/>
        <family val="2"/>
      </rPr>
      <t xml:space="preserve">算定等）と「共通要件＋重要テーマ別シナリオ」の二層整理を具体的な機能レベルまで例示。時価総額</t>
    </r>
    <r>
      <rPr>
        <sz val="8"/>
        <color rgb="FF000000"/>
        <rFont val="Meiryo"/>
        <family val="0"/>
        <charset val="1"/>
      </rPr>
      <t xml:space="preserve">3</t>
    </r>
    <r>
      <rPr>
        <sz val="8"/>
        <color rgb="FF000000"/>
        <rFont val="WenQuanYi Zen Hei"/>
        <family val="2"/>
      </rPr>
      <t xml:space="preserve">兆・</t>
    </r>
    <r>
      <rPr>
        <sz val="8"/>
        <color rgb="FF000000"/>
        <rFont val="Meiryo"/>
        <family val="0"/>
        <charset val="1"/>
      </rPr>
      <t xml:space="preserve">1</t>
    </r>
    <r>
      <rPr>
        <sz val="8"/>
        <color rgb="FF000000"/>
        <rFont val="WenQuanYi Zen Hei"/>
        <family val="2"/>
      </rPr>
      <t xml:space="preserve">兆円企業で開示・保証要件未確定下の適用実績を裏付けとして提示。</t>
    </r>
  </si>
  <si>
    <t xml:space="preserve">Q3</t>
  </si>
  <si>
    <t xml:space="preserve">守りの設計力（統制・証跡・自動化）</t>
  </si>
  <si>
    <t xml:space="preserve">証憑紐付け・多段階承認・変更履歴保全を機能要件へ落とす道筋と、手作業根絶のプロセス設計が具体的か</t>
  </si>
  <si>
    <t xml:space="preserve">証憑紐付け要件定義・版管理・変更管理方針書等、成果物への道筋は示されるが記載は一般論の域。手作業根絶のプロセス設計の具体度と実績の裏付けが薄い。</t>
  </si>
  <si>
    <r>
      <rPr>
        <sz val="8"/>
        <color rgb="FF000000"/>
        <rFont val="WenQuanYi Zen Hei"/>
        <family val="2"/>
      </rPr>
      <t xml:space="preserve">統制要素</t>
    </r>
    <r>
      <rPr>
        <sz val="8"/>
        <color rgb="FF000000"/>
        <rFont val="Meiryo"/>
        <family val="0"/>
        <charset val="1"/>
      </rPr>
      <t xml:space="preserve">×</t>
    </r>
    <r>
      <rPr>
        <sz val="8"/>
        <color rgb="FF000000"/>
        <rFont val="WenQuanYi Zen Hei"/>
        <family val="2"/>
      </rPr>
      <t xml:space="preserve">確認領域のマトリクス、「人による確認・判断」と「システムによる保持・追跡」の分担、請求書按分・単位変換・例外処理の証跡定義まで、機能要件へ落とす道筋が</t>
    </r>
    <r>
      <rPr>
        <sz val="8"/>
        <color rgb="FF000000"/>
        <rFont val="Meiryo"/>
        <family val="0"/>
        <charset val="1"/>
      </rPr>
      <t xml:space="preserve">3</t>
    </r>
    <r>
      <rPr>
        <sz val="8"/>
        <color rgb="FF000000"/>
        <rFont val="WenQuanYi Zen Hei"/>
        <family val="2"/>
      </rPr>
      <t xml:space="preserve">社中最も具体的。監査法人（</t>
    </r>
    <r>
      <rPr>
        <sz val="8"/>
        <color rgb="FF000000"/>
        <rFont val="Meiryo"/>
        <family val="0"/>
        <charset val="1"/>
      </rPr>
      <t xml:space="preserve">PwC</t>
    </r>
    <r>
      <rPr>
        <sz val="8"/>
        <color rgb="FF000000"/>
        <rFont val="WenQuanYi Zen Hei"/>
        <family val="2"/>
      </rPr>
      <t xml:space="preserve">あらた）との連携体制と全世界</t>
    </r>
    <r>
      <rPr>
        <sz val="8"/>
        <color rgb="FF000000"/>
        <rFont val="Meiryo"/>
        <family val="0"/>
        <charset val="1"/>
      </rPr>
      <t xml:space="preserve">500</t>
    </r>
    <r>
      <rPr>
        <sz val="8"/>
        <color rgb="FF000000"/>
        <rFont val="WenQuanYi Zen Hei"/>
        <family val="2"/>
      </rPr>
      <t xml:space="preserve">拠点の統制構築実績が裏付け。</t>
    </r>
  </si>
  <si>
    <r>
      <rPr>
        <sz val="8"/>
        <color rgb="FF000000"/>
        <rFont val="WenQuanYi Zen Hei"/>
        <family val="2"/>
      </rPr>
      <t xml:space="preserve">公認会計士（元大手監査法人パートナー・保証</t>
    </r>
    <r>
      <rPr>
        <sz val="8"/>
        <color rgb="FF000000"/>
        <rFont val="Meiryo"/>
        <family val="0"/>
        <charset val="1"/>
      </rPr>
      <t xml:space="preserve">15</t>
    </r>
    <r>
      <rPr>
        <sz val="8"/>
        <color rgb="FF000000"/>
        <rFont val="WenQuanYi Zen Hei"/>
        <family val="2"/>
      </rPr>
      <t xml:space="preserve">年）を体制に配置し、キーコントロール定義・非財務決算プロセス統制・保証人指摘対応を実際の作成物レベルで提示。「過剰にしない統制」の設計思想と保証人の早期巻き込みによる「後出し</t>
    </r>
    <r>
      <rPr>
        <sz val="8"/>
        <color rgb="FF000000"/>
        <rFont val="Meiryo"/>
        <family val="0"/>
        <charset val="1"/>
      </rPr>
      <t xml:space="preserve">NG</t>
    </r>
    <r>
      <rPr>
        <sz val="8"/>
        <color rgb="FF000000"/>
        <rFont val="WenQuanYi Zen Hei"/>
        <family val="2"/>
      </rPr>
      <t xml:space="preserve">」予防まで具体的。</t>
    </r>
  </si>
  <si>
    <t xml:space="preserve">Q4</t>
  </si>
  <si>
    <t xml:space="preserve">攻めの設計力（非財務の財務化）</t>
  </si>
  <si>
    <r>
      <rPr>
        <sz val="8"/>
        <color rgb="FF000000"/>
        <rFont val="Meiryo"/>
        <family val="0"/>
        <charset val="1"/>
      </rPr>
      <t xml:space="preserve">Scope3</t>
    </r>
    <r>
      <rPr>
        <sz val="8"/>
        <color rgb="FF000000"/>
        <rFont val="WenQuanYi Zen Hei"/>
        <family val="2"/>
      </rPr>
      <t xml:space="preserve">一次データ化・</t>
    </r>
    <r>
      <rPr>
        <sz val="8"/>
        <color rgb="FF000000"/>
        <rFont val="Meiryo"/>
        <family val="0"/>
        <charset val="1"/>
      </rPr>
      <t xml:space="preserve">CFP</t>
    </r>
    <r>
      <rPr>
        <sz val="8"/>
        <color rgb="FF000000"/>
        <rFont val="WenQuanYi Zen Hei"/>
        <family val="2"/>
      </rPr>
      <t xml:space="preserve">即応・</t>
    </r>
    <r>
      <rPr>
        <sz val="8"/>
        <color rgb="FF000000"/>
        <rFont val="Meiryo"/>
        <family val="0"/>
        <charset val="1"/>
      </rPr>
      <t xml:space="preserve">AI</t>
    </r>
    <r>
      <rPr>
        <sz val="8"/>
        <color rgb="FF000000"/>
        <rFont val="WenQuanYi Zen Hei"/>
        <family val="2"/>
      </rPr>
      <t xml:space="preserve">将来予測を</t>
    </r>
    <r>
      <rPr>
        <sz val="8"/>
        <color rgb="FF000000"/>
        <rFont val="Meiryo"/>
        <family val="0"/>
        <charset val="1"/>
      </rPr>
      <t xml:space="preserve">PBR</t>
    </r>
    <r>
      <rPr>
        <sz val="8"/>
        <color rgb="FF000000"/>
        <rFont val="WenQuanYi Zen Hei"/>
        <family val="2"/>
      </rPr>
      <t xml:space="preserve">向上・受注拡大へ接続する定量ストーリーがあるか</t>
    </r>
  </si>
  <si>
    <r>
      <rPr>
        <sz val="8"/>
        <color rgb="FF000000"/>
        <rFont val="WenQuanYi Zen Hei"/>
        <family val="2"/>
      </rPr>
      <t xml:space="preserve">可視化・活用の初期仮説（意思決定起点の</t>
    </r>
    <r>
      <rPr>
        <sz val="8"/>
        <color rgb="FF000000"/>
        <rFont val="Meiryo"/>
        <family val="0"/>
        <charset val="1"/>
      </rPr>
      <t xml:space="preserve">KPI</t>
    </r>
    <r>
      <rPr>
        <sz val="8"/>
        <color rgb="FF000000"/>
        <rFont val="WenQuanYi Zen Hei"/>
        <family val="2"/>
      </rPr>
      <t xml:space="preserve">設計・多目的出力）はあるが、</t>
    </r>
    <r>
      <rPr>
        <sz val="8"/>
        <color rgb="FF000000"/>
        <rFont val="Meiryo"/>
        <family val="0"/>
        <charset val="1"/>
      </rPr>
      <t xml:space="preserve">PBR</t>
    </r>
    <r>
      <rPr>
        <sz val="8"/>
        <color rgb="FF000000"/>
        <rFont val="WenQuanYi Zen Hei"/>
        <family val="2"/>
      </rPr>
      <t xml:space="preserve">向上・受注拡大へ接続する定量ストーリーはなし。一般論の範囲。</t>
    </r>
  </si>
  <si>
    <r>
      <rPr>
        <sz val="8"/>
        <color rgb="FF000000"/>
        <rFont val="Meiryo"/>
        <family val="0"/>
        <charset val="1"/>
      </rPr>
      <t xml:space="preserve">Step1</t>
    </r>
    <r>
      <rPr>
        <sz val="8"/>
        <color rgb="FF000000"/>
        <rFont val="WenQuanYi Zen Hei"/>
        <family val="2"/>
      </rPr>
      <t xml:space="preserve">〜</t>
    </r>
    <r>
      <rPr>
        <sz val="8"/>
        <color rgb="FF000000"/>
        <rFont val="Meiryo"/>
        <family val="0"/>
        <charset val="1"/>
      </rPr>
      <t xml:space="preserve">3</t>
    </r>
    <r>
      <rPr>
        <sz val="8"/>
        <color rgb="FF000000"/>
        <rFont val="WenQuanYi Zen Hei"/>
        <family val="2"/>
      </rPr>
      <t xml:space="preserve">の企業価値向上ステップに加え、残余利益モデルによる非財務属性</t>
    </r>
    <r>
      <rPr>
        <sz val="8"/>
        <color rgb="FF000000"/>
        <rFont val="Meiryo"/>
        <family val="0"/>
        <charset val="1"/>
      </rPr>
      <t xml:space="preserve">×</t>
    </r>
    <r>
      <rPr>
        <sz val="8"/>
        <color rgb="FF000000"/>
        <rFont val="WenQuanYi Zen Hei"/>
        <family val="2"/>
      </rPr>
      <t xml:space="preserve">資本コスト・理論株価の定量分析方法論（</t>
    </r>
    <r>
      <rPr>
        <sz val="8"/>
        <color rgb="FF000000"/>
        <rFont val="Meiryo"/>
        <family val="0"/>
        <charset val="1"/>
      </rPr>
      <t xml:space="preserve">Appendix</t>
    </r>
    <r>
      <rPr>
        <sz val="8"/>
        <color rgb="FF000000"/>
        <rFont val="WenQuanYi Zen Hei"/>
        <family val="2"/>
      </rPr>
      <t xml:space="preserve">）は独自性あり。ただし将来予測・サプライヤー連携（</t>
    </r>
    <r>
      <rPr>
        <sz val="8"/>
        <color rgb="FF000000"/>
        <rFont val="Meiryo"/>
        <family val="0"/>
        <charset val="1"/>
      </rPr>
      <t xml:space="preserve">Scope3</t>
    </r>
    <r>
      <rPr>
        <sz val="8"/>
        <color rgb="FF000000"/>
        <rFont val="WenQuanYi Zen Hei"/>
        <family val="2"/>
      </rPr>
      <t xml:space="preserve">一次データ化）を「</t>
    </r>
    <r>
      <rPr>
        <sz val="8"/>
        <color rgb="FF000000"/>
        <rFont val="Meiryo"/>
        <family val="0"/>
        <charset val="1"/>
      </rPr>
      <t xml:space="preserve">Step2</t>
    </r>
    <r>
      <rPr>
        <sz val="8"/>
        <color rgb="FF000000"/>
        <rFont val="WenQuanYi Zen Hei"/>
        <family val="2"/>
      </rPr>
      <t xml:space="preserve">以降」とし、本フェーズの要件化からは外している。</t>
    </r>
  </si>
  <si>
    <r>
      <rPr>
        <sz val="8"/>
        <color rgb="FF000000"/>
        <rFont val="WenQuanYi Zen Hei"/>
        <family val="2"/>
      </rPr>
      <t xml:space="preserve">攻めユースケース</t>
    </r>
    <r>
      <rPr>
        <sz val="8"/>
        <color rgb="FF000000"/>
        <rFont val="Meiryo"/>
        <family val="0"/>
        <charset val="1"/>
      </rPr>
      <t xml:space="preserve">6</t>
    </r>
    <r>
      <rPr>
        <sz val="8"/>
        <color rgb="FF000000"/>
        <rFont val="WenQuanYi Zen Hei"/>
        <family val="2"/>
      </rPr>
      <t xml:space="preserve">件を効果</t>
    </r>
    <r>
      <rPr>
        <sz val="8"/>
        <color rgb="FF000000"/>
        <rFont val="Meiryo"/>
        <family val="0"/>
        <charset val="1"/>
      </rPr>
      <t xml:space="preserve">×</t>
    </r>
    <r>
      <rPr>
        <sz val="8"/>
        <color rgb="FF000000"/>
        <rFont val="WenQuanYi Zen Hei"/>
        <family val="2"/>
      </rPr>
      <t xml:space="preserve">実現性で事前評価（</t>
    </r>
    <r>
      <rPr>
        <sz val="8"/>
        <color rgb="FF000000"/>
        <rFont val="Meiryo"/>
        <family val="0"/>
        <charset val="1"/>
      </rPr>
      <t xml:space="preserve">CFP</t>
    </r>
    <r>
      <rPr>
        <sz val="8"/>
        <color rgb="FF000000"/>
        <rFont val="WenQuanYi Zen Hei"/>
        <family val="2"/>
      </rPr>
      <t xml:space="preserve">即応＝受注シェア直結、削減貢献量＝</t>
    </r>
    <r>
      <rPr>
        <sz val="8"/>
        <color rgb="FF000000"/>
        <rFont val="Meiryo"/>
        <family val="0"/>
        <charset val="1"/>
      </rPr>
      <t xml:space="preserve">Cat11</t>
    </r>
    <r>
      <rPr>
        <sz val="8"/>
        <color rgb="FF000000"/>
        <rFont val="WenQuanYi Zen Hei"/>
        <family val="2"/>
      </rPr>
      <t xml:space="preserve">の価値訴求・</t>
    </r>
    <r>
      <rPr>
        <sz val="8"/>
        <color rgb="FF000000"/>
        <rFont val="Meiryo"/>
        <family val="0"/>
        <charset val="1"/>
      </rPr>
      <t xml:space="preserve">IR</t>
    </r>
    <r>
      <rPr>
        <sz val="8"/>
        <color rgb="FF000000"/>
        <rFont val="WenQuanYi Zen Hei"/>
        <family val="2"/>
      </rPr>
      <t xml:space="preserve">直結等）し、</t>
    </r>
    <r>
      <rPr>
        <sz val="8"/>
        <color rgb="FF000000"/>
        <rFont val="Meiryo"/>
        <family val="0"/>
        <charset val="1"/>
      </rPr>
      <t xml:space="preserve">2</t>
    </r>
    <r>
      <rPr>
        <sz val="8"/>
        <color rgb="FF000000"/>
        <rFont val="WenQuanYi Zen Hei"/>
        <family val="2"/>
      </rPr>
      <t xml:space="preserve">〜</t>
    </r>
    <r>
      <rPr>
        <sz val="8"/>
        <color rgb="FF000000"/>
        <rFont val="Meiryo"/>
        <family val="0"/>
        <charset val="1"/>
      </rPr>
      <t xml:space="preserve">3</t>
    </r>
    <r>
      <rPr>
        <sz val="8"/>
        <color rgb="FF000000"/>
        <rFont val="WenQuanYi Zen Hei"/>
        <family val="2"/>
      </rPr>
      <t xml:space="preserve">件への絞り込みと基盤要件化までをスコープに内蔵。</t>
    </r>
    <r>
      <rPr>
        <sz val="8"/>
        <color rgb="FF000000"/>
        <rFont val="Meiryo"/>
        <family val="0"/>
        <charset val="1"/>
      </rPr>
      <t xml:space="preserve">Digital ESG</t>
    </r>
    <r>
      <rPr>
        <sz val="8"/>
        <color rgb="FF000000"/>
        <rFont val="WenQuanYi Zen Hei"/>
        <family val="2"/>
      </rPr>
      <t xml:space="preserve">方法論（非財務資本投下</t>
    </r>
    <r>
      <rPr>
        <sz val="8"/>
        <color rgb="FF000000"/>
        <rFont val="Meiryo"/>
        <family val="0"/>
        <charset val="1"/>
      </rPr>
      <t xml:space="preserve">×</t>
    </r>
    <r>
      <rPr>
        <sz val="8"/>
        <color rgb="FF000000"/>
        <rFont val="WenQuanYi Zen Hei"/>
        <family val="2"/>
      </rPr>
      <t xml:space="preserve">企業価値の関係分析）を鉄道・不動産・通信・建設等で適用した実績。定量成果の実例までは未提示のため</t>
    </r>
    <r>
      <rPr>
        <sz val="8"/>
        <color rgb="FF000000"/>
        <rFont val="Meiryo"/>
        <family val="0"/>
        <charset val="1"/>
      </rPr>
      <t xml:space="preserve">4</t>
    </r>
    <r>
      <rPr>
        <sz val="8"/>
        <color rgb="FF000000"/>
        <rFont val="WenQuanYi Zen Hei"/>
        <family val="2"/>
      </rPr>
      <t xml:space="preserve">。</t>
    </r>
  </si>
  <si>
    <t xml:space="preserve">Q5</t>
  </si>
  <si>
    <r>
      <rPr>
        <b val="true"/>
        <sz val="9"/>
        <color rgb="FF000000"/>
        <rFont val="WenQuanYi Zen Hei"/>
        <family val="2"/>
      </rPr>
      <t xml:space="preserve">実績・知見（</t>
    </r>
    <r>
      <rPr>
        <b val="true"/>
        <sz val="9"/>
        <color rgb="FF000000"/>
        <rFont val="Meiryo"/>
        <family val="0"/>
        <charset val="1"/>
      </rPr>
      <t xml:space="preserve">SSBJ</t>
    </r>
    <r>
      <rPr>
        <b val="true"/>
        <sz val="9"/>
        <color rgb="FF000000"/>
        <rFont val="WenQuanYi Zen Hei"/>
        <family val="2"/>
      </rPr>
      <t xml:space="preserve">／保証／類似基盤）</t>
    </r>
  </si>
  <si>
    <r>
      <rPr>
        <sz val="8"/>
        <color rgb="FF000000"/>
        <rFont val="WenQuanYi Zen Hei"/>
        <family val="2"/>
      </rPr>
      <t xml:space="preserve">類似案件の実績を「社名・時期・自社の役割・定量成果」の</t>
    </r>
    <r>
      <rPr>
        <sz val="8"/>
        <color rgb="FF000000"/>
        <rFont val="Meiryo"/>
        <family val="0"/>
        <charset val="1"/>
      </rPr>
      <t xml:space="preserve">4</t>
    </r>
    <r>
      <rPr>
        <sz val="8"/>
        <color rgb="FF000000"/>
        <rFont val="WenQuanYi Zen Hei"/>
        <family val="2"/>
      </rPr>
      <t xml:space="preserve">点セットで示し、失敗と回避策を語れるか</t>
    </r>
  </si>
  <si>
    <r>
      <rPr>
        <sz val="8"/>
        <color rgb="FF000000"/>
        <rFont val="WenQuanYi Zen Hei"/>
        <family val="2"/>
      </rPr>
      <t xml:space="preserve">会社としての</t>
    </r>
    <r>
      <rPr>
        <sz val="8"/>
        <color rgb="FF000000"/>
        <rFont val="Meiryo"/>
        <family val="0"/>
        <charset val="1"/>
      </rPr>
      <t xml:space="preserve">SSBJ</t>
    </r>
    <r>
      <rPr>
        <sz val="8"/>
        <color rgb="FF000000"/>
        <rFont val="WenQuanYi Zen Hei"/>
        <family val="2"/>
      </rPr>
      <t xml:space="preserve">／保証／類似基盤の実績が「社名・時期・役割・定量成果」の</t>
    </r>
    <r>
      <rPr>
        <sz val="8"/>
        <color rgb="FF000000"/>
        <rFont val="Meiryo"/>
        <family val="0"/>
        <charset val="1"/>
      </rPr>
      <t xml:space="preserve">4</t>
    </r>
    <r>
      <rPr>
        <sz val="8"/>
        <color rgb="FF000000"/>
        <rFont val="WenQuanYi Zen Hei"/>
        <family val="2"/>
      </rPr>
      <t xml:space="preserve">点セットで示されず、個人経歴（官公庁の要件定義・ベンダー選定等）への依存。</t>
    </r>
    <r>
      <rPr>
        <sz val="8"/>
        <color rgb="FF000000"/>
        <rFont val="Meiryo"/>
        <family val="0"/>
        <charset val="1"/>
      </rPr>
      <t xml:space="preserve">SSBJ</t>
    </r>
    <r>
      <rPr>
        <sz val="8"/>
        <color rgb="FF000000"/>
        <rFont val="WenQuanYi Zen Hei"/>
        <family val="2"/>
      </rPr>
      <t xml:space="preserve">固有の会社実績が書面で確認できない。</t>
    </r>
  </si>
  <si>
    <r>
      <rPr>
        <sz val="8"/>
        <color rgb="FF000000"/>
        <rFont val="Meiryo"/>
        <family val="0"/>
        <charset val="1"/>
      </rPr>
      <t xml:space="preserve">Net Zero Cloud</t>
    </r>
    <r>
      <rPr>
        <sz val="8"/>
        <color rgb="FF000000"/>
        <rFont val="WenQuanYi Zen Hei"/>
        <family val="2"/>
      </rPr>
      <t xml:space="preserve">／</t>
    </r>
    <r>
      <rPr>
        <sz val="8"/>
        <color rgb="FF000000"/>
        <rFont val="Meiryo"/>
        <family val="0"/>
        <charset val="1"/>
      </rPr>
      <t xml:space="preserve">Workiva</t>
    </r>
    <r>
      <rPr>
        <sz val="8"/>
        <color rgb="FF000000"/>
        <rFont val="WenQuanYi Zen Hei"/>
        <family val="2"/>
      </rPr>
      <t xml:space="preserve">等の導入実績多数。全世界</t>
    </r>
    <r>
      <rPr>
        <sz val="8"/>
        <color rgb="FF000000"/>
        <rFont val="Meiryo"/>
        <family val="0"/>
        <charset val="1"/>
      </rPr>
      <t xml:space="preserve">500</t>
    </r>
    <r>
      <rPr>
        <sz val="8"/>
        <color rgb="FF000000"/>
        <rFont val="WenQuanYi Zen Hei"/>
        <family val="2"/>
      </rPr>
      <t xml:space="preserve">拠点・国内サプライヤー</t>
    </r>
    <r>
      <rPr>
        <sz val="8"/>
        <color rgb="FF000000"/>
        <rFont val="Meiryo"/>
        <family val="0"/>
        <charset val="1"/>
      </rPr>
      <t xml:space="preserve">300</t>
    </r>
    <r>
      <rPr>
        <sz val="8"/>
        <color rgb="FF000000"/>
        <rFont val="WenQuanYi Zen Hei"/>
        <family val="2"/>
      </rPr>
      <t xml:space="preserve">社・</t>
    </r>
    <r>
      <rPr>
        <sz val="8"/>
        <color rgb="FF000000"/>
        <rFont val="Meiryo"/>
        <family val="0"/>
        <charset val="1"/>
      </rPr>
      <t xml:space="preserve">700</t>
    </r>
    <r>
      <rPr>
        <sz val="8"/>
        <color rgb="FF000000"/>
        <rFont val="WenQuanYi Zen Hei"/>
        <family val="2"/>
      </rPr>
      <t xml:space="preserve">拠点等の定量規模、公表事例（日経</t>
    </r>
    <r>
      <rPr>
        <sz val="8"/>
        <color rgb="FF000000"/>
        <rFont val="Meiryo"/>
        <family val="0"/>
        <charset val="1"/>
      </rPr>
      <t xml:space="preserve">BP</t>
    </r>
    <r>
      <rPr>
        <sz val="8"/>
        <color rgb="FF000000"/>
        <rFont val="WenQuanYi Zen Hei"/>
        <family val="2"/>
      </rPr>
      <t xml:space="preserve">記事）、</t>
    </r>
    <r>
      <rPr>
        <sz val="8"/>
        <color rgb="FF000000"/>
        <rFont val="Meiryo"/>
        <family val="0"/>
        <charset val="1"/>
      </rPr>
      <t xml:space="preserve">Net Zero Cloud Partner of the Year</t>
    </r>
    <r>
      <rPr>
        <sz val="8"/>
        <color rgb="FF000000"/>
        <rFont val="WenQuanYi Zen Hei"/>
        <family val="2"/>
      </rPr>
      <t xml:space="preserve">受賞。ただし多くが業種表記（社名非開示）で時期の明示も乏しく、</t>
    </r>
    <r>
      <rPr>
        <sz val="8"/>
        <color rgb="FF000000"/>
        <rFont val="Meiryo"/>
        <family val="0"/>
        <charset val="1"/>
      </rPr>
      <t xml:space="preserve">4</t>
    </r>
    <r>
      <rPr>
        <sz val="8"/>
        <color rgb="FF000000"/>
        <rFont val="WenQuanYi Zen Hei"/>
        <family val="2"/>
      </rPr>
      <t xml:space="preserve">点セットとしては不完全。</t>
    </r>
  </si>
  <si>
    <r>
      <rPr>
        <sz val="8"/>
        <color rgb="FF000000"/>
        <rFont val="Meiryo"/>
        <family val="0"/>
        <charset val="1"/>
      </rPr>
      <t xml:space="preserve">SG</t>
    </r>
    <r>
      <rPr>
        <sz val="8"/>
        <color rgb="FF000000"/>
        <rFont val="WenQuanYi Zen Hei"/>
        <family val="2"/>
      </rPr>
      <t xml:space="preserve">ホールディングス（実名・</t>
    </r>
    <r>
      <rPr>
        <sz val="8"/>
        <color rgb="FF000000"/>
        <rFont val="Meiryo"/>
        <family val="0"/>
        <charset val="1"/>
      </rPr>
      <t xml:space="preserve">2026</t>
    </r>
    <r>
      <rPr>
        <sz val="8"/>
        <color rgb="FF000000"/>
        <rFont val="WenQuanYi Zen Hei"/>
        <family val="2"/>
      </rPr>
      <t xml:space="preserve">年</t>
    </r>
    <r>
      <rPr>
        <sz val="8"/>
        <color rgb="FF000000"/>
        <rFont val="Meiryo"/>
        <family val="0"/>
        <charset val="1"/>
      </rPr>
      <t xml:space="preserve">7</t>
    </r>
    <r>
      <rPr>
        <sz val="8"/>
        <color rgb="FF000000"/>
        <rFont val="WenQuanYi Zen Hei"/>
        <family val="2"/>
      </rPr>
      <t xml:space="preserve">月プレスリリース公表済み）、時価総額</t>
    </r>
    <r>
      <rPr>
        <sz val="8"/>
        <color rgb="FF000000"/>
        <rFont val="Meiryo"/>
        <family val="0"/>
        <charset val="1"/>
      </rPr>
      <t xml:space="preserve">3</t>
    </r>
    <r>
      <rPr>
        <sz val="8"/>
        <color rgb="FF000000"/>
        <rFont val="WenQuanYi Zen Hei"/>
        <family val="2"/>
      </rPr>
      <t xml:space="preserve">兆円企業への</t>
    </r>
    <r>
      <rPr>
        <sz val="8"/>
        <color rgb="FF000000"/>
        <rFont val="Meiryo"/>
        <family val="0"/>
        <charset val="1"/>
      </rPr>
      <t xml:space="preserve">SSBJ</t>
    </r>
    <r>
      <rPr>
        <sz val="8"/>
        <color rgb="FF000000"/>
        <rFont val="WenQuanYi Zen Hei"/>
        <family val="2"/>
      </rPr>
      <t xml:space="preserve">支援を明示。業界別事例に期間（</t>
    </r>
    <r>
      <rPr>
        <sz val="8"/>
        <color rgb="FF000000"/>
        <rFont val="Meiryo"/>
        <family val="0"/>
        <charset val="1"/>
      </rPr>
      <t xml:space="preserve">3</t>
    </r>
    <r>
      <rPr>
        <sz val="8"/>
        <color rgb="FF000000"/>
        <rFont val="WenQuanYi Zen Hei"/>
        <family val="2"/>
      </rPr>
      <t xml:space="preserve">／</t>
    </r>
    <r>
      <rPr>
        <sz val="8"/>
        <color rgb="FF000000"/>
        <rFont val="Meiryo"/>
        <family val="0"/>
        <charset val="1"/>
      </rPr>
      <t xml:space="preserve">5</t>
    </r>
    <r>
      <rPr>
        <sz val="8"/>
        <color rgb="FF000000"/>
        <rFont val="WenQuanYi Zen Hei"/>
        <family val="2"/>
      </rPr>
      <t xml:space="preserve">／</t>
    </r>
    <r>
      <rPr>
        <sz val="8"/>
        <color rgb="FF000000"/>
        <rFont val="Meiryo"/>
        <family val="0"/>
        <charset val="1"/>
      </rPr>
      <t xml:space="preserve">7</t>
    </r>
    <r>
      <rPr>
        <sz val="8"/>
        <color rgb="FF000000"/>
        <rFont val="WenQuanYi Zen Hei"/>
        <family val="2"/>
      </rPr>
      <t xml:space="preserve">ヶ月）と定量成果（</t>
    </r>
    <r>
      <rPr>
        <sz val="8"/>
        <color rgb="FF000000"/>
        <rFont val="Meiryo"/>
        <family val="0"/>
        <charset val="1"/>
      </rPr>
      <t xml:space="preserve">GRESB 3→4</t>
    </r>
    <r>
      <rPr>
        <sz val="8"/>
        <color rgb="FF000000"/>
        <rFont val="WenQuanYi Zen Hei"/>
        <family val="2"/>
      </rPr>
      <t xml:space="preserve">スター、</t>
    </r>
    <r>
      <rPr>
        <sz val="8"/>
        <color rgb="FF000000"/>
        <rFont val="Meiryo"/>
        <family val="0"/>
        <charset val="1"/>
      </rPr>
      <t xml:space="preserve">RFP4</t>
    </r>
    <r>
      <rPr>
        <sz val="8"/>
        <color rgb="FF000000"/>
        <rFont val="WenQuanYi Zen Hei"/>
        <family val="2"/>
      </rPr>
      <t xml:space="preserve">社発出→選定完了）を付し、難所別に「避けるべき参考事例（失敗）と回避策」を語っており、</t>
    </r>
    <r>
      <rPr>
        <sz val="8"/>
        <color rgb="FF000000"/>
        <rFont val="Meiryo"/>
        <family val="0"/>
        <charset val="1"/>
      </rPr>
      <t xml:space="preserve">4</t>
    </r>
    <r>
      <rPr>
        <sz val="8"/>
        <color rgb="FF000000"/>
        <rFont val="WenQuanYi Zen Hei"/>
        <family val="2"/>
      </rPr>
      <t xml:space="preserve">点セットに最も近い。</t>
    </r>
  </si>
  <si>
    <t xml:space="preserve">Q6</t>
  </si>
  <si>
    <t xml:space="preserve">投入メンバーの専門性（実名）</t>
  </si>
  <si>
    <t xml:space="preserve">実名・経歴・類似案件経験が提示され、従事予定者本人がコンペに出席し自らの言葉で語れるか</t>
  </si>
  <si>
    <r>
      <rPr>
        <sz val="8"/>
        <color rgb="FF000000"/>
        <rFont val="WenQuanYi Zen Hei"/>
        <family val="2"/>
      </rPr>
      <t xml:space="preserve">実名提示はあるが</t>
    </r>
    <r>
      <rPr>
        <sz val="8"/>
        <color rgb="FF000000"/>
        <rFont val="Meiryo"/>
        <family val="0"/>
        <charset val="1"/>
      </rPr>
      <t xml:space="preserve">PM</t>
    </r>
    <r>
      <rPr>
        <sz val="8"/>
        <color rgb="FF000000"/>
        <rFont val="WenQuanYi Zen Hei"/>
        <family val="2"/>
      </rPr>
      <t xml:space="preserve">「田村 </t>
    </r>
    <r>
      <rPr>
        <sz val="8"/>
        <color rgb="FF000000"/>
        <rFont val="Meiryo"/>
        <family val="0"/>
        <charset val="1"/>
      </rPr>
      <t xml:space="preserve">or </t>
    </r>
    <r>
      <rPr>
        <sz val="8"/>
        <color rgb="FF000000"/>
        <rFont val="WenQuanYi Zen Hei"/>
        <family val="2"/>
      </rPr>
      <t xml:space="preserve">豊田」、リード「大谷 </t>
    </r>
    <r>
      <rPr>
        <sz val="8"/>
        <color rgb="FF000000"/>
        <rFont val="Meiryo"/>
        <family val="0"/>
        <charset val="1"/>
      </rPr>
      <t xml:space="preserve">or </t>
    </r>
    <r>
      <rPr>
        <sz val="8"/>
        <color rgb="FF000000"/>
        <rFont val="WenQuanYi Zen Hei"/>
        <family val="2"/>
      </rPr>
      <t xml:space="preserve">白石」と主要</t>
    </r>
    <r>
      <rPr>
        <sz val="8"/>
        <color rgb="FF000000"/>
        <rFont val="Meiryo"/>
        <family val="0"/>
        <charset val="1"/>
      </rPr>
      <t xml:space="preserve">2</t>
    </r>
    <r>
      <rPr>
        <sz val="8"/>
        <color rgb="FF000000"/>
        <rFont val="WenQuanYi Zen Hei"/>
        <family val="2"/>
      </rPr>
      <t xml:space="preserve">ポジションが未確定。メンバーは「受注後迅速に決定」。</t>
    </r>
    <r>
      <rPr>
        <sz val="8"/>
        <color rgb="FF000000"/>
        <rFont val="Meiryo"/>
        <family val="0"/>
        <charset val="1"/>
      </rPr>
      <t xml:space="preserve">SME</t>
    </r>
    <r>
      <rPr>
        <sz val="8"/>
        <color rgb="FF000000"/>
        <rFont val="WenQuanYi Zen Hei"/>
        <family val="2"/>
      </rPr>
      <t xml:space="preserve">中村氏の専門性は高い。本人のコンペ出席と確定を質疑で要確認。</t>
    </r>
  </si>
  <si>
    <r>
      <rPr>
        <sz val="8"/>
        <color rgb="FF000000"/>
        <rFont val="WenQuanYi Zen Hei"/>
        <family val="2"/>
      </rPr>
      <t xml:space="preserve">リード小林</t>
    </r>
    <r>
      <rPr>
        <sz val="8"/>
        <color rgb="FF000000"/>
        <rFont val="Meiryo"/>
        <family val="0"/>
        <charset val="1"/>
      </rPr>
      <t xml:space="preserve">P</t>
    </r>
    <r>
      <rPr>
        <sz val="8"/>
        <color rgb="FF000000"/>
        <rFont val="WenQuanYi Zen Hei"/>
        <family val="2"/>
      </rPr>
      <t xml:space="preserve">（関与</t>
    </r>
    <r>
      <rPr>
        <sz val="8"/>
        <color rgb="FF000000"/>
        <rFont val="Meiryo"/>
        <family val="0"/>
        <charset val="1"/>
      </rPr>
      <t xml:space="preserve">5%</t>
    </r>
    <r>
      <rPr>
        <sz val="8"/>
        <color rgb="FF000000"/>
        <rFont val="WenQuanYi Zen Hei"/>
        <family val="2"/>
      </rPr>
      <t xml:space="preserve">）・</t>
    </r>
    <r>
      <rPr>
        <sz val="8"/>
        <color rgb="FF000000"/>
        <rFont val="Meiryo"/>
        <family val="0"/>
        <charset val="1"/>
      </rPr>
      <t xml:space="preserve">PM</t>
    </r>
    <r>
      <rPr>
        <sz val="8"/>
        <color rgb="FF000000"/>
        <rFont val="WenQuanYi Zen Hei"/>
        <family val="2"/>
      </rPr>
      <t xml:space="preserve">須貝</t>
    </r>
    <r>
      <rPr>
        <sz val="8"/>
        <color rgb="FF000000"/>
        <rFont val="Meiryo"/>
        <family val="0"/>
        <charset val="1"/>
      </rPr>
      <t xml:space="preserve">SM</t>
    </r>
    <r>
      <rPr>
        <sz val="8"/>
        <color rgb="FF000000"/>
        <rFont val="WenQuanYi Zen Hei"/>
        <family val="2"/>
      </rPr>
      <t xml:space="preserve">（</t>
    </r>
    <r>
      <rPr>
        <sz val="8"/>
        <color rgb="FF000000"/>
        <rFont val="Meiryo"/>
        <family val="0"/>
        <charset val="1"/>
      </rPr>
      <t xml:space="preserve">20%</t>
    </r>
    <r>
      <rPr>
        <sz val="8"/>
        <color rgb="FF000000"/>
        <rFont val="WenQuanYi Zen Hei"/>
        <family val="2"/>
      </rPr>
      <t xml:space="preserve">）は実名・経歴・実績が詳細。ただし</t>
    </r>
    <r>
      <rPr>
        <sz val="8"/>
        <color rgb="FF000000"/>
        <rFont val="Meiryo"/>
        <family val="0"/>
        <charset val="1"/>
      </rPr>
      <t xml:space="preserve">100%</t>
    </r>
    <r>
      <rPr>
        <sz val="8"/>
        <color rgb="FF000000"/>
        <rFont val="WenQuanYi Zen Hei"/>
        <family val="2"/>
      </rPr>
      <t xml:space="preserve">稼働の実働</t>
    </r>
    <r>
      <rPr>
        <sz val="8"/>
        <color rgb="FF000000"/>
        <rFont val="Meiryo"/>
        <family val="0"/>
        <charset val="1"/>
      </rPr>
      <t xml:space="preserve">3</t>
    </r>
    <r>
      <rPr>
        <sz val="8"/>
        <color rgb="FF000000"/>
        <rFont val="WenQuanYi Zen Hei"/>
        <family val="2"/>
      </rPr>
      <t xml:space="preserve">名（</t>
    </r>
    <r>
      <rPr>
        <sz val="8"/>
        <color rgb="FF000000"/>
        <rFont val="Meiryo"/>
        <family val="0"/>
        <charset val="1"/>
      </rPr>
      <t xml:space="preserve">SA/A</t>
    </r>
    <r>
      <rPr>
        <sz val="8"/>
        <color rgb="FF000000"/>
        <rFont val="WenQuanYi Zen Hei"/>
        <family val="2"/>
      </rPr>
      <t xml:space="preserve">）が全員</t>
    </r>
    <r>
      <rPr>
        <sz val="8"/>
        <color rgb="FF000000"/>
        <rFont val="Meiryo"/>
        <family val="0"/>
        <charset val="1"/>
      </rPr>
      <t xml:space="preserve">TBD</t>
    </r>
    <r>
      <rPr>
        <sz val="8"/>
        <color rgb="FF000000"/>
        <rFont val="WenQuanYi Zen Hei"/>
        <family val="2"/>
      </rPr>
      <t xml:space="preserve">で実名・経歴なし。成果物品質の大半を担う層が匿名であり、書面では実現性を判断できない。</t>
    </r>
  </si>
  <si>
    <r>
      <rPr>
        <sz val="8"/>
        <color rgb="FF000000"/>
        <rFont val="WenQuanYi Zen Hei"/>
        <family val="2"/>
      </rPr>
      <t xml:space="preserve">主要</t>
    </r>
    <r>
      <rPr>
        <sz val="8"/>
        <color rgb="FF000000"/>
        <rFont val="Meiryo"/>
        <family val="0"/>
        <charset val="1"/>
      </rPr>
      <t xml:space="preserve">6</t>
    </r>
    <r>
      <rPr>
        <sz val="8"/>
        <color rgb="FF000000"/>
        <rFont val="WenQuanYi Zen Hei"/>
        <family val="2"/>
      </rPr>
      <t xml:space="preserve">名を実名・経歴・類似実績付きで提示（</t>
    </r>
    <r>
      <rPr>
        <sz val="8"/>
        <color rgb="FF000000"/>
        <rFont val="Meiryo"/>
        <family val="0"/>
        <charset val="1"/>
      </rPr>
      <t xml:space="preserve">PM</t>
    </r>
    <r>
      <rPr>
        <sz val="8"/>
        <color rgb="FF000000"/>
        <rFont val="WenQuanYi Zen Hei"/>
        <family val="2"/>
      </rPr>
      <t xml:space="preserve">山野氏＝食品メーカーの</t>
    </r>
    <r>
      <rPr>
        <sz val="8"/>
        <color rgb="FF000000"/>
        <rFont val="Meiryo"/>
        <family val="0"/>
        <charset val="1"/>
      </rPr>
      <t xml:space="preserve">SSBJ</t>
    </r>
    <r>
      <rPr>
        <sz val="8"/>
        <color rgb="FF000000"/>
        <rFont val="WenQuanYi Zen Hei"/>
        <family val="2"/>
      </rPr>
      <t xml:space="preserve">報告プロセス可視化・内部統制整備、張本氏＝公認会計士</t>
    </r>
    <r>
      <rPr>
        <sz val="8"/>
        <color rgb="FF000000"/>
        <rFont val="Meiryo"/>
        <family val="0"/>
        <charset val="1"/>
      </rPr>
      <t xml:space="preserve">15</t>
    </r>
    <r>
      <rPr>
        <sz val="8"/>
        <color rgb="FF000000"/>
        <rFont val="WenQuanYi Zen Hei"/>
        <family val="2"/>
      </rPr>
      <t xml:space="preserve">年）。ただし実働コンサルタント</t>
    </r>
    <r>
      <rPr>
        <sz val="8"/>
        <color rgb="FF000000"/>
        <rFont val="Meiryo"/>
        <family val="0"/>
        <charset val="1"/>
      </rPr>
      <t xml:space="preserve">3</t>
    </r>
    <r>
      <rPr>
        <sz val="8"/>
        <color rgb="FF000000"/>
        <rFont val="WenQuanYi Zen Hei"/>
        <family val="2"/>
      </rPr>
      <t xml:space="preserve">名は</t>
    </r>
    <r>
      <rPr>
        <sz val="8"/>
        <color rgb="FF000000"/>
        <rFont val="Meiryo"/>
        <family val="0"/>
        <charset val="1"/>
      </rPr>
      <t xml:space="preserve">TBD</t>
    </r>
    <r>
      <rPr>
        <sz val="8"/>
        <color rgb="FF000000"/>
        <rFont val="WenQuanYi Zen Hei"/>
        <family val="2"/>
      </rPr>
      <t xml:space="preserve">、「参画メンバーは変更になる可能性」の注記あり。本人出席と交代条件を質疑で要確認。</t>
    </r>
  </si>
  <si>
    <r>
      <rPr>
        <b val="true"/>
        <sz val="10"/>
        <color rgb="FF000000"/>
        <rFont val="Meiryo"/>
        <family val="0"/>
        <charset val="1"/>
      </rPr>
      <t xml:space="preserve">Q </t>
    </r>
    <r>
      <rPr>
        <b val="true"/>
        <sz val="10"/>
        <color rgb="FF000000"/>
        <rFont val="WenQuanYi Zen Hei"/>
        <family val="2"/>
      </rPr>
      <t xml:space="preserve">小計</t>
    </r>
  </si>
  <si>
    <r>
      <rPr>
        <b val="true"/>
        <sz val="10"/>
        <color rgb="FF000000"/>
        <rFont val="Meiryo"/>
        <family val="0"/>
        <charset val="1"/>
      </rPr>
      <t xml:space="preserve">C</t>
    </r>
    <r>
      <rPr>
        <b val="true"/>
        <sz val="10"/>
        <color rgb="FF000000"/>
        <rFont val="WenQuanYi Zen Hei"/>
        <family val="2"/>
      </rPr>
      <t xml:space="preserve">｜</t>
    </r>
    <r>
      <rPr>
        <b val="true"/>
        <sz val="10"/>
        <color rgb="FF000000"/>
        <rFont val="Meiryo"/>
        <family val="0"/>
        <charset val="1"/>
      </rPr>
      <t xml:space="preserve">Cost</t>
    </r>
    <r>
      <rPr>
        <b val="true"/>
        <sz val="10"/>
        <color rgb="FF000000"/>
        <rFont val="WenQuanYi Zen Hei"/>
        <family val="2"/>
      </rPr>
      <t xml:space="preserve">（コスト）— 価格の妥当性と統制</t>
    </r>
  </si>
  <si>
    <t xml:space="preserve">C1</t>
  </si>
  <si>
    <t xml:space="preserve">見積総額の妥当性</t>
  </si>
  <si>
    <r>
      <rPr>
        <sz val="8"/>
        <color rgb="FF000000"/>
        <rFont val="Meiryo"/>
        <family val="0"/>
        <charset val="1"/>
      </rPr>
      <t xml:space="preserve">3</t>
    </r>
    <r>
      <rPr>
        <sz val="8"/>
        <color rgb="FF000000"/>
        <rFont val="WenQuanYi Zen Hei"/>
        <family val="2"/>
      </rPr>
      <t xml:space="preserve">ヶ月スコープ・成果物</t>
    </r>
    <r>
      <rPr>
        <sz val="8"/>
        <color rgb="FF000000"/>
        <rFont val="Meiryo"/>
        <family val="0"/>
        <charset val="1"/>
      </rPr>
      <t xml:space="preserve">10</t>
    </r>
    <r>
      <rPr>
        <sz val="8"/>
        <color rgb="FF000000"/>
        <rFont val="WenQuanYi Zen Hei"/>
        <family val="2"/>
      </rPr>
      <t xml:space="preserve">点に対し市場相場・投入体制と整合するか（極端な安値は実態確認のうえ減点）</t>
    </r>
  </si>
  <si>
    <r>
      <rPr>
        <sz val="8"/>
        <color rgb="FF000000"/>
        <rFont val="WenQuanYi Zen Hei"/>
        <family val="2"/>
      </rPr>
      <t xml:space="preserve">値引後</t>
    </r>
    <r>
      <rPr>
        <sz val="8"/>
        <color rgb="FF000000"/>
        <rFont val="Meiryo"/>
        <family val="0"/>
        <charset val="1"/>
      </rPr>
      <t xml:space="preserve">2,400</t>
    </r>
    <r>
      <rPr>
        <sz val="8"/>
        <color rgb="FF000000"/>
        <rFont val="WenQuanYi Zen Hei"/>
        <family val="2"/>
      </rPr>
      <t xml:space="preserve">万円（税抜）は</t>
    </r>
    <r>
      <rPr>
        <sz val="8"/>
        <color rgb="FF000000"/>
        <rFont val="Meiryo"/>
        <family val="0"/>
        <charset val="1"/>
      </rPr>
      <t xml:space="preserve">3</t>
    </r>
    <r>
      <rPr>
        <sz val="8"/>
        <color rgb="FF000000"/>
        <rFont val="WenQuanYi Zen Hei"/>
        <family val="2"/>
      </rPr>
      <t xml:space="preserve">ヶ月・実働</t>
    </r>
    <r>
      <rPr>
        <sz val="8"/>
        <color rgb="FF000000"/>
        <rFont val="Meiryo"/>
        <family val="0"/>
        <charset val="1"/>
      </rPr>
      <t xml:space="preserve">4</t>
    </r>
    <r>
      <rPr>
        <sz val="8"/>
        <color rgb="FF000000"/>
        <rFont val="WenQuanYi Zen Hei"/>
        <family val="2"/>
      </rPr>
      <t xml:space="preserve">〜</t>
    </r>
    <r>
      <rPr>
        <sz val="8"/>
        <color rgb="FF000000"/>
        <rFont val="Meiryo"/>
        <family val="0"/>
        <charset val="1"/>
      </rPr>
      <t xml:space="preserve">5</t>
    </r>
    <r>
      <rPr>
        <sz val="8"/>
        <color rgb="FF000000"/>
        <rFont val="WenQuanYi Zen Hei"/>
        <family val="2"/>
      </rPr>
      <t xml:space="preserve">名として相場下限。定価</t>
    </r>
    <r>
      <rPr>
        <sz val="8"/>
        <color rgb="FF000000"/>
        <rFont val="Meiryo"/>
        <family val="0"/>
        <charset val="1"/>
      </rPr>
      <t xml:space="preserve">3,520</t>
    </r>
    <r>
      <rPr>
        <sz val="8"/>
        <color rgb="FF000000"/>
        <rFont val="WenQuanYi Zen Hei"/>
        <family val="2"/>
      </rPr>
      <t xml:space="preserve">万円からの</t>
    </r>
    <r>
      <rPr>
        <sz val="8"/>
        <color rgb="FF000000"/>
        <rFont val="Meiryo"/>
        <family val="0"/>
        <charset val="1"/>
      </rPr>
      <t xml:space="preserve">32%</t>
    </r>
    <r>
      <rPr>
        <sz val="8"/>
        <color rgb="FF000000"/>
        <rFont val="WenQuanYi Zen Hei"/>
        <family val="2"/>
      </rPr>
      <t xml:space="preserve">値引き（▲</t>
    </r>
    <r>
      <rPr>
        <sz val="8"/>
        <color rgb="FF000000"/>
        <rFont val="Meiryo"/>
        <family val="0"/>
        <charset val="1"/>
      </rPr>
      <t xml:space="preserve">1,120</t>
    </r>
    <r>
      <rPr>
        <sz val="8"/>
        <color rgb="FF000000"/>
        <rFont val="WenQuanYi Zen Hei"/>
        <family val="2"/>
      </rPr>
      <t xml:space="preserve">万円）は採点ルール上「極端な安値」の確認対象。値引きの持続性（次フェーズ単価）と体制維持の実態を質疑で確認のうえ確定。</t>
    </r>
  </si>
  <si>
    <r>
      <rPr>
        <sz val="8"/>
        <color rgb="FF000000"/>
        <rFont val="WenQuanYi Zen Hei"/>
        <family val="2"/>
      </rPr>
      <t xml:space="preserve">案①</t>
    </r>
    <r>
      <rPr>
        <sz val="8"/>
        <color rgb="FF000000"/>
        <rFont val="Meiryo"/>
        <family val="0"/>
        <charset val="1"/>
      </rPr>
      <t xml:space="preserve">3,350</t>
    </r>
    <r>
      <rPr>
        <sz val="8"/>
        <color rgb="FF000000"/>
        <rFont val="WenQuanYi Zen Hei"/>
        <family val="2"/>
      </rPr>
      <t xml:space="preserve">万／案②</t>
    </r>
    <r>
      <rPr>
        <sz val="8"/>
        <color rgb="FF000000"/>
        <rFont val="Meiryo"/>
        <family val="0"/>
        <charset val="1"/>
      </rPr>
      <t xml:space="preserve">2,700</t>
    </r>
    <r>
      <rPr>
        <sz val="8"/>
        <color rgb="FF000000"/>
        <rFont val="WenQuanYi Zen Hei"/>
        <family val="2"/>
      </rPr>
      <t xml:space="preserve">万／案③</t>
    </r>
    <r>
      <rPr>
        <sz val="8"/>
        <color rgb="FF000000"/>
        <rFont val="Meiryo"/>
        <family val="0"/>
        <charset val="1"/>
      </rPr>
      <t xml:space="preserve">2,150</t>
    </r>
    <r>
      <rPr>
        <sz val="8"/>
        <color rgb="FF000000"/>
        <rFont val="WenQuanYi Zen Hei"/>
        <family val="2"/>
      </rPr>
      <t xml:space="preserve">万円と</t>
    </r>
    <r>
      <rPr>
        <sz val="8"/>
        <color rgb="FF000000"/>
        <rFont val="Meiryo"/>
        <family val="0"/>
        <charset val="1"/>
      </rPr>
      <t xml:space="preserve">3</t>
    </r>
    <r>
      <rPr>
        <sz val="8"/>
        <color rgb="FF000000"/>
        <rFont val="WenQuanYi Zen Hei"/>
        <family val="2"/>
      </rPr>
      <t xml:space="preserve">案でスコープと金額の対応が開示され、体制との整合も説明可能。</t>
    </r>
    <r>
      <rPr>
        <sz val="8"/>
        <color rgb="FF000000"/>
        <rFont val="Meiryo"/>
        <family val="0"/>
        <charset val="1"/>
      </rPr>
      <t xml:space="preserve">3</t>
    </r>
    <r>
      <rPr>
        <sz val="8"/>
        <color rgb="FF000000"/>
        <rFont val="WenQuanYi Zen Hei"/>
        <family val="2"/>
      </rPr>
      <t xml:space="preserve">ヶ月強・実働</t>
    </r>
    <r>
      <rPr>
        <sz val="8"/>
        <color rgb="FF000000"/>
        <rFont val="Meiryo"/>
        <family val="0"/>
        <charset val="1"/>
      </rPr>
      <t xml:space="preserve">3</t>
    </r>
    <r>
      <rPr>
        <sz val="8"/>
        <color rgb="FF000000"/>
        <rFont val="WenQuanYi Zen Hei"/>
        <family val="2"/>
      </rPr>
      <t xml:space="preserve">名＋管理として市場相場レンジ内。</t>
    </r>
  </si>
  <si>
    <r>
      <rPr>
        <sz val="8"/>
        <color rgb="FF000000"/>
        <rFont val="Meiryo"/>
        <family val="0"/>
        <charset val="1"/>
      </rPr>
      <t xml:space="preserve">7,800</t>
    </r>
    <r>
      <rPr>
        <sz val="8"/>
        <color rgb="FF000000"/>
        <rFont val="WenQuanYi Zen Hei"/>
        <family val="2"/>
      </rPr>
      <t xml:space="preserve">万円（税抜）は他社比</t>
    </r>
    <r>
      <rPr>
        <sz val="8"/>
        <color rgb="FF000000"/>
        <rFont val="Meiryo"/>
        <family val="0"/>
        <charset val="1"/>
      </rPr>
      <t xml:space="preserve">2.3</t>
    </r>
    <r>
      <rPr>
        <sz val="8"/>
        <color rgb="FF000000"/>
        <rFont val="WenQuanYi Zen Hei"/>
        <family val="2"/>
      </rPr>
      <t xml:space="preserve">〜</t>
    </r>
    <r>
      <rPr>
        <sz val="8"/>
        <color rgb="FF000000"/>
        <rFont val="Meiryo"/>
        <family val="0"/>
        <charset val="1"/>
      </rPr>
      <t xml:space="preserve">3.6</t>
    </r>
    <r>
      <rPr>
        <sz val="8"/>
        <color rgb="FF000000"/>
        <rFont val="WenQuanYi Zen Hei"/>
        <family val="2"/>
      </rPr>
      <t xml:space="preserve">倍。期間</t>
    </r>
    <r>
      <rPr>
        <sz val="8"/>
        <color rgb="FF000000"/>
        <rFont val="Meiryo"/>
        <family val="0"/>
        <charset val="1"/>
      </rPr>
      <t xml:space="preserve">5</t>
    </r>
    <r>
      <rPr>
        <sz val="8"/>
        <color rgb="FF000000"/>
        <rFont val="WenQuanYi Zen Hei"/>
        <family val="2"/>
      </rPr>
      <t xml:space="preserve">ヶ月・ベンダー評価／非システム課題／効果試算までのスコープ拡張が要因だが、貴社が定義した「</t>
    </r>
    <r>
      <rPr>
        <sz val="8"/>
        <color rgb="FF000000"/>
        <rFont val="Meiryo"/>
        <family val="0"/>
        <charset val="1"/>
      </rPr>
      <t xml:space="preserve">3</t>
    </r>
    <r>
      <rPr>
        <sz val="8"/>
        <color rgb="FF000000"/>
        <rFont val="WenQuanYi Zen Hei"/>
        <family val="2"/>
      </rPr>
      <t xml:space="preserve">ヶ月・成果物</t>
    </r>
    <r>
      <rPr>
        <sz val="8"/>
        <color rgb="FF000000"/>
        <rFont val="Meiryo"/>
        <family val="0"/>
        <charset val="1"/>
      </rPr>
      <t xml:space="preserve">10</t>
    </r>
    <r>
      <rPr>
        <sz val="8"/>
        <color rgb="FF000000"/>
        <rFont val="WenQuanYi Zen Hei"/>
        <family val="2"/>
      </rPr>
      <t xml:space="preserve">点」に対応する金額が切り出されておらず、書面では妥当性を検証できない。基準スコープの切り出し見積りを質疑で要求。</t>
    </r>
  </si>
  <si>
    <t xml:space="preserve">C2</t>
  </si>
  <si>
    <t xml:space="preserve">工数・単価の透明性</t>
  </si>
  <si>
    <r>
      <rPr>
        <sz val="8"/>
        <color rgb="FF000000"/>
        <rFont val="WenQuanYi Zen Hei"/>
        <family val="2"/>
      </rPr>
      <t xml:space="preserve">ランク別単価</t>
    </r>
    <r>
      <rPr>
        <sz val="8"/>
        <color rgb="FF000000"/>
        <rFont val="Meiryo"/>
        <family val="0"/>
        <charset val="1"/>
      </rPr>
      <t xml:space="preserve">×</t>
    </r>
    <r>
      <rPr>
        <sz val="8"/>
        <color rgb="FF000000"/>
        <rFont val="WenQuanYi Zen Hei"/>
        <family val="2"/>
      </rPr>
      <t xml:space="preserve">人数</t>
    </r>
    <r>
      <rPr>
        <sz val="8"/>
        <color rgb="FF000000"/>
        <rFont val="Meiryo"/>
        <family val="0"/>
        <charset val="1"/>
      </rPr>
      <t xml:space="preserve">×</t>
    </r>
    <r>
      <rPr>
        <sz val="8"/>
        <color rgb="FF000000"/>
        <rFont val="WenQuanYi Zen Hei"/>
        <family val="2"/>
      </rPr>
      <t xml:space="preserve">稼働率</t>
    </r>
    <r>
      <rPr>
        <sz val="8"/>
        <color rgb="FF000000"/>
        <rFont val="Meiryo"/>
        <family val="0"/>
        <charset val="1"/>
      </rPr>
      <t xml:space="preserve">×</t>
    </r>
    <r>
      <rPr>
        <sz val="8"/>
        <color rgb="FF000000"/>
        <rFont val="WenQuanYi Zen Hei"/>
        <family val="2"/>
      </rPr>
      <t xml:space="preserve">期間の内訳が開示され、</t>
    </r>
    <r>
      <rPr>
        <sz val="8"/>
        <color rgb="FF000000"/>
        <rFont val="Meiryo"/>
        <family val="0"/>
        <charset val="1"/>
      </rPr>
      <t xml:space="preserve">WBS</t>
    </r>
    <r>
      <rPr>
        <sz val="8"/>
        <color rgb="FF000000"/>
        <rFont val="WenQuanYi Zen Hei"/>
        <family val="2"/>
      </rPr>
      <t xml:space="preserve">のタスクと工数の対応を検証できるか</t>
    </r>
  </si>
  <si>
    <r>
      <rPr>
        <sz val="8"/>
        <color rgb="FF000000"/>
        <rFont val="WenQuanYi Zen Hei"/>
        <family val="2"/>
      </rPr>
      <t xml:space="preserve">内訳非開示（総額＋値引き額のみ）。体制表にフルタイム／パートタイムの区分はあるが、ランク別単価・稼働率</t>
    </r>
    <r>
      <rPr>
        <sz val="8"/>
        <color rgb="FF000000"/>
        <rFont val="Meiryo"/>
        <family val="0"/>
        <charset val="1"/>
      </rPr>
      <t xml:space="preserve">%</t>
    </r>
    <r>
      <rPr>
        <sz val="8"/>
        <color rgb="FF000000"/>
        <rFont val="WenQuanYi Zen Hei"/>
        <family val="2"/>
      </rPr>
      <t xml:space="preserve">・工数がなく、</t>
    </r>
    <r>
      <rPr>
        <sz val="8"/>
        <color rgb="FF000000"/>
        <rFont val="Meiryo"/>
        <family val="0"/>
        <charset val="1"/>
      </rPr>
      <t xml:space="preserve">WBS</t>
    </r>
    <r>
      <rPr>
        <sz val="8"/>
        <color rgb="FF000000"/>
        <rFont val="WenQuanYi Zen Hei"/>
        <family val="2"/>
      </rPr>
      <t xml:space="preserve">別紙とタスク工数の対応も検証不可。</t>
    </r>
  </si>
  <si>
    <r>
      <rPr>
        <sz val="8"/>
        <color rgb="FF000000"/>
        <rFont val="WenQuanYi Zen Hei"/>
        <family val="2"/>
      </rPr>
      <t xml:space="preserve">メンバー別・月別の関与工数</t>
    </r>
    <r>
      <rPr>
        <sz val="8"/>
        <color rgb="FF000000"/>
        <rFont val="Meiryo"/>
        <family val="0"/>
        <charset val="1"/>
      </rPr>
      <t xml:space="preserve">%</t>
    </r>
    <r>
      <rPr>
        <sz val="8"/>
        <color rgb="FF000000"/>
        <rFont val="WenQuanYi Zen Hei"/>
        <family val="2"/>
      </rPr>
      <t xml:space="preserve">を唯一開示（</t>
    </r>
    <r>
      <rPr>
        <sz val="8"/>
        <color rgb="FF000000"/>
        <rFont val="Meiryo"/>
        <family val="0"/>
        <charset val="1"/>
      </rPr>
      <t xml:space="preserve">P5%</t>
    </r>
    <r>
      <rPr>
        <sz val="8"/>
        <color rgb="FF000000"/>
        <rFont val="WenQuanYi Zen Hei"/>
        <family val="2"/>
      </rPr>
      <t xml:space="preserve">・</t>
    </r>
    <r>
      <rPr>
        <sz val="8"/>
        <color rgb="FF000000"/>
        <rFont val="Meiryo"/>
        <family val="0"/>
        <charset val="1"/>
      </rPr>
      <t xml:space="preserve">SM20%</t>
    </r>
    <r>
      <rPr>
        <sz val="8"/>
        <color rgb="FF000000"/>
        <rFont val="WenQuanYi Zen Hei"/>
        <family val="2"/>
      </rPr>
      <t xml:space="preserve">・実働</t>
    </r>
    <r>
      <rPr>
        <sz val="8"/>
        <color rgb="FF000000"/>
        <rFont val="Meiryo"/>
        <family val="0"/>
        <charset val="1"/>
      </rPr>
      <t xml:space="preserve">100%×3</t>
    </r>
    <r>
      <rPr>
        <sz val="8"/>
        <color rgb="FF000000"/>
        <rFont val="WenQuanYi Zen Hei"/>
        <family val="2"/>
      </rPr>
      <t xml:space="preserve">名等）。ただしランク別単価は非開示のため、単価</t>
    </r>
    <r>
      <rPr>
        <sz val="8"/>
        <color rgb="FF000000"/>
        <rFont val="Meiryo"/>
        <family val="0"/>
        <charset val="1"/>
      </rPr>
      <t xml:space="preserve">×</t>
    </r>
    <r>
      <rPr>
        <sz val="8"/>
        <color rgb="FF000000"/>
        <rFont val="WenQuanYi Zen Hei"/>
        <family val="2"/>
      </rPr>
      <t xml:space="preserve">工数の妥当性検証まではできない。</t>
    </r>
  </si>
  <si>
    <r>
      <rPr>
        <sz val="8"/>
        <color rgb="FF000000"/>
        <rFont val="WenQuanYi Zen Hei"/>
        <family val="2"/>
      </rPr>
      <t xml:space="preserve">総額のみで単価・工数・稼働率の内訳なし。タスク一覧（</t>
    </r>
    <r>
      <rPr>
        <sz val="8"/>
        <color rgb="FF000000"/>
        <rFont val="Meiryo"/>
        <family val="0"/>
        <charset val="1"/>
      </rPr>
      <t xml:space="preserve">15</t>
    </r>
    <r>
      <rPr>
        <sz val="8"/>
        <color rgb="FF000000"/>
        <rFont val="WenQuanYi Zen Hei"/>
        <family val="2"/>
      </rPr>
      <t xml:space="preserve">タスク）は</t>
    </r>
    <r>
      <rPr>
        <sz val="8"/>
        <color rgb="FF000000"/>
        <rFont val="Meiryo"/>
        <family val="0"/>
        <charset val="1"/>
      </rPr>
      <t xml:space="preserve">3</t>
    </r>
    <r>
      <rPr>
        <sz val="8"/>
        <color rgb="FF000000"/>
        <rFont val="WenQuanYi Zen Hei"/>
        <family val="2"/>
      </rPr>
      <t xml:space="preserve">社中最も詳細だが、タスクと工数・金額の対応が示されていない。</t>
    </r>
  </si>
  <si>
    <t xml:space="preserve">C3</t>
  </si>
  <si>
    <t xml:space="preserve">追加費用条件・変更管理</t>
  </si>
  <si>
    <t xml:space="preserve">手戻り・スコープ変更時の費用発生条件と変更管理手続きが契約前に明文化されているか</t>
  </si>
  <si>
    <t xml:space="preserve">「その他諸費用が発生する場合は相談の上別途請求」のみ。手戻り・スコープ変更時の費用発生条件、変更管理手続きの明文化なし。</t>
  </si>
  <si>
    <t xml:space="preserve">「作業範囲・作業量の大幅な拡大・増加により当初見積り超過の可能性が生じた場合は、速やかに相談のうえ再見積り」と契約前に明文化。変更管理の承認手続きまでは未定義。</t>
  </si>
  <si>
    <r>
      <rPr>
        <sz val="8"/>
        <color rgb="FF000000"/>
        <rFont val="WenQuanYi Zen Hei"/>
        <family val="2"/>
      </rPr>
      <t xml:space="preserve">「期間・業務内容・前提条件が変更となる場合は相談のうえ改めて提案」を明文化。加えて「ベンダー評価は</t>
    </r>
    <r>
      <rPr>
        <sz val="8"/>
        <color rgb="FF000000"/>
        <rFont val="Meiryo"/>
        <family val="0"/>
        <charset val="1"/>
      </rPr>
      <t xml:space="preserve">1</t>
    </r>
    <r>
      <rPr>
        <sz val="8"/>
        <color rgb="FF000000"/>
        <rFont val="WenQuanYi Zen Hei"/>
        <family val="2"/>
      </rPr>
      <t xml:space="preserve">月末までに回答があった企業に限る」等、対応範囲の条件を明示している。</t>
    </r>
  </si>
  <si>
    <t xml:space="preserve">C4</t>
  </si>
  <si>
    <t xml:space="preserve">費用対効果の説明力</t>
  </si>
  <si>
    <t xml:space="preserve">支援により回避できるコスト（監査工数・手戻り・ベンダー選定失敗）と投資額の関係を説明できるか</t>
  </si>
  <si>
    <t xml:space="preserve">監査コスト増・開示遅延・品質低下等の経営リスクは定性的に説明されるが、回避コストと投資額の定量的な関係の説明なし。</t>
  </si>
  <si>
    <t xml:space="preserve">保証工数削減による開示リードタイム短縮、業務工数削減への言及はあるが、回避コストと投資額の定量関係の説明はなし。</t>
  </si>
  <si>
    <r>
      <rPr>
        <sz val="8"/>
        <color rgb="FF000000"/>
        <rFont val="WenQuanYi Zen Hei"/>
        <family val="2"/>
      </rPr>
      <t xml:space="preserve">「工数削減額・リスク回避額・収益機会」の効果</t>
    </r>
    <r>
      <rPr>
        <sz val="8"/>
        <color rgb="FF000000"/>
        <rFont val="Meiryo"/>
        <family val="0"/>
        <charset val="1"/>
      </rPr>
      <t xml:space="preserve">3</t>
    </r>
    <r>
      <rPr>
        <sz val="8"/>
        <color rgb="FF000000"/>
        <rFont val="WenQuanYi Zen Hei"/>
        <family val="2"/>
      </rPr>
      <t xml:space="preserve">分類で投資をリターンに転換するコンセプトを掲げ、</t>
    </r>
    <r>
      <rPr>
        <sz val="8"/>
        <color rgb="FF000000"/>
        <rFont val="Meiryo"/>
        <family val="0"/>
        <charset val="1"/>
      </rPr>
      <t xml:space="preserve">As-Is</t>
    </r>
    <r>
      <rPr>
        <sz val="8"/>
        <color rgb="FF000000"/>
        <rFont val="WenQuanYi Zen Hei"/>
        <family val="2"/>
      </rPr>
      <t xml:space="preserve">実測に基づく</t>
    </r>
    <r>
      <rPr>
        <sz val="8"/>
        <color rgb="FF000000"/>
        <rFont val="Meiryo"/>
        <family val="0"/>
        <charset val="1"/>
      </rPr>
      <t xml:space="preserve">ROI</t>
    </r>
    <r>
      <rPr>
        <sz val="8"/>
        <color rgb="FF000000"/>
        <rFont val="WenQuanYi Zen Hei"/>
        <family val="2"/>
      </rPr>
      <t xml:space="preserve">精緻化・経営上申資料の作成をタスク（</t>
    </r>
    <r>
      <rPr>
        <sz val="8"/>
        <color rgb="FF000000"/>
        <rFont val="Meiryo"/>
        <family val="0"/>
        <charset val="1"/>
      </rPr>
      <t xml:space="preserve">#15</t>
    </r>
    <r>
      <rPr>
        <sz val="8"/>
        <color rgb="FF000000"/>
        <rFont val="WenQuanYi Zen Hei"/>
        <family val="2"/>
      </rPr>
      <t xml:space="preserve">）としてスコープに内蔵。定量の実例までは未提示のため</t>
    </r>
    <r>
      <rPr>
        <sz val="8"/>
        <color rgb="FF000000"/>
        <rFont val="Meiryo"/>
        <family val="0"/>
        <charset val="1"/>
      </rPr>
      <t xml:space="preserve">4</t>
    </r>
    <r>
      <rPr>
        <sz val="8"/>
        <color rgb="FF000000"/>
        <rFont val="WenQuanYi Zen Hei"/>
        <family val="2"/>
      </rPr>
      <t xml:space="preserve">。</t>
    </r>
  </si>
  <si>
    <r>
      <rPr>
        <b val="true"/>
        <sz val="10"/>
        <color rgb="FF000000"/>
        <rFont val="Meiryo"/>
        <family val="0"/>
        <charset val="1"/>
      </rPr>
      <t xml:space="preserve">C </t>
    </r>
    <r>
      <rPr>
        <b val="true"/>
        <sz val="10"/>
        <color rgb="FF000000"/>
        <rFont val="WenQuanYi Zen Hei"/>
        <family val="2"/>
      </rPr>
      <t xml:space="preserve">小計</t>
    </r>
  </si>
  <si>
    <r>
      <rPr>
        <b val="true"/>
        <sz val="10"/>
        <color rgb="FF000000"/>
        <rFont val="Meiryo"/>
        <family val="0"/>
        <charset val="1"/>
      </rPr>
      <t xml:space="preserve">D</t>
    </r>
    <r>
      <rPr>
        <b val="true"/>
        <sz val="10"/>
        <color rgb="FF000000"/>
        <rFont val="WenQuanYi Zen Hei"/>
        <family val="2"/>
      </rPr>
      <t xml:space="preserve">｜</t>
    </r>
    <r>
      <rPr>
        <b val="true"/>
        <sz val="10"/>
        <color rgb="FF000000"/>
        <rFont val="Meiryo"/>
        <family val="0"/>
        <charset val="1"/>
      </rPr>
      <t xml:space="preserve">Delivery</t>
    </r>
    <r>
      <rPr>
        <b val="true"/>
        <sz val="10"/>
        <color rgb="FF000000"/>
        <rFont val="WenQuanYi Zen Hei"/>
        <family val="2"/>
      </rPr>
      <t xml:space="preserve">（納期）— </t>
    </r>
    <r>
      <rPr>
        <b val="true"/>
        <sz val="10"/>
        <color rgb="FF000000"/>
        <rFont val="Meiryo"/>
        <family val="0"/>
        <charset val="1"/>
      </rPr>
      <t xml:space="preserve">3</t>
    </r>
    <r>
      <rPr>
        <b val="true"/>
        <sz val="10"/>
        <color rgb="FF000000"/>
        <rFont val="WenQuanYi Zen Hei"/>
        <family val="2"/>
      </rPr>
      <t xml:space="preserve">ヶ月完遂の確実性</t>
    </r>
  </si>
  <si>
    <t xml:space="preserve">D1</t>
  </si>
  <si>
    <r>
      <rPr>
        <b val="true"/>
        <sz val="9"/>
        <color rgb="FF000000"/>
        <rFont val="WenQuanYi Zen Hei"/>
        <family val="2"/>
      </rPr>
      <t xml:space="preserve">実行計画（</t>
    </r>
    <r>
      <rPr>
        <b val="true"/>
        <sz val="9"/>
        <color rgb="FF000000"/>
        <rFont val="Meiryo"/>
        <family val="0"/>
        <charset val="1"/>
      </rPr>
      <t xml:space="preserve">WBS</t>
    </r>
    <r>
      <rPr>
        <b val="true"/>
        <sz val="9"/>
        <color rgb="FF000000"/>
        <rFont val="WenQuanYi Zen Hei"/>
        <family val="2"/>
      </rPr>
      <t xml:space="preserve">）の実現性</t>
    </r>
  </si>
  <si>
    <r>
      <rPr>
        <sz val="8"/>
        <color rgb="FF000000"/>
        <rFont val="Meiryo"/>
        <family val="0"/>
        <charset val="1"/>
      </rPr>
      <t xml:space="preserve">9</t>
    </r>
    <r>
      <rPr>
        <sz val="8"/>
        <color rgb="FF000000"/>
        <rFont val="WenQuanYi Zen Hei"/>
        <family val="2"/>
      </rPr>
      <t xml:space="preserve">〜</t>
    </r>
    <r>
      <rPr>
        <sz val="8"/>
        <color rgb="FF000000"/>
        <rFont val="Meiryo"/>
        <family val="0"/>
        <charset val="1"/>
      </rPr>
      <t xml:space="preserve">11</t>
    </r>
    <r>
      <rPr>
        <sz val="8"/>
        <color rgb="FF000000"/>
        <rFont val="WenQuanYi Zen Hei"/>
        <family val="2"/>
      </rPr>
      <t xml:space="preserve">月の計画に海外拠点ヒアリング統合等の依存関係とクリティカルパスが織り込まれているか</t>
    </r>
  </si>
  <si>
    <r>
      <rPr>
        <sz val="8"/>
        <color rgb="FF000000"/>
        <rFont val="Meiryo"/>
        <family val="0"/>
        <charset val="1"/>
      </rPr>
      <t xml:space="preserve">9</t>
    </r>
    <r>
      <rPr>
        <sz val="8"/>
        <color rgb="FF000000"/>
        <rFont val="WenQuanYi Zen Hei"/>
        <family val="2"/>
      </rPr>
      <t xml:space="preserve">〜</t>
    </r>
    <r>
      <rPr>
        <sz val="8"/>
        <color rgb="FF000000"/>
        <rFont val="Meiryo"/>
        <family val="0"/>
        <charset val="1"/>
      </rPr>
      <t xml:space="preserve">11</t>
    </r>
    <r>
      <rPr>
        <sz val="8"/>
        <color rgb="FF000000"/>
        <rFont val="WenQuanYi Zen Hei"/>
        <family val="2"/>
      </rPr>
      <t xml:space="preserve">月の週次線表と</t>
    </r>
    <r>
      <rPr>
        <sz val="8"/>
        <color rgb="FF000000"/>
        <rFont val="Meiryo"/>
        <family val="0"/>
        <charset val="1"/>
      </rPr>
      <t xml:space="preserve">WBS</t>
    </r>
    <r>
      <rPr>
        <sz val="8"/>
        <color rgb="FF000000"/>
        <rFont val="WenQuanYi Zen Hei"/>
        <family val="2"/>
      </rPr>
      <t xml:space="preserve">別紙（案</t>
    </r>
    <r>
      <rPr>
        <sz val="8"/>
        <color rgb="FF000000"/>
        <rFont val="Meiryo"/>
        <family val="0"/>
        <charset val="1"/>
      </rPr>
      <t xml:space="preserve">)</t>
    </r>
    <r>
      <rPr>
        <sz val="8"/>
        <color rgb="FF000000"/>
        <rFont val="WenQuanYi Zen Hei"/>
        <family val="2"/>
      </rPr>
      <t xml:space="preserve">を提示。ただし海外拠点ヒアリング（</t>
    </r>
    <r>
      <rPr>
        <sz val="8"/>
        <color rgb="FF000000"/>
        <rFont val="Meiryo"/>
        <family val="0"/>
        <charset val="1"/>
      </rPr>
      <t xml:space="preserve">9</t>
    </r>
    <r>
      <rPr>
        <sz val="8"/>
        <color rgb="FF000000"/>
        <rFont val="WenQuanYi Zen Hei"/>
        <family val="2"/>
      </rPr>
      <t xml:space="preserve">月末回収）等の外部依存の統合やクリティカルパスの明示が確認できない。</t>
    </r>
  </si>
  <si>
    <r>
      <rPr>
        <sz val="8"/>
        <color rgb="FF000000"/>
        <rFont val="WenQuanYi Zen Hei"/>
        <family val="2"/>
      </rPr>
      <t xml:space="preserve">週単位の詳細線表と海外拠点ヒアリング結果の取込みを明示。ただし計画期間が</t>
    </r>
    <r>
      <rPr>
        <sz val="8"/>
        <color rgb="FF000000"/>
        <rFont val="Meiryo"/>
        <family val="0"/>
        <charset val="1"/>
      </rPr>
      <t xml:space="preserve">9/7</t>
    </r>
    <r>
      <rPr>
        <sz val="8"/>
        <color rgb="FF000000"/>
        <rFont val="WenQuanYi Zen Hei"/>
        <family val="2"/>
      </rPr>
      <t xml:space="preserve">〜</t>
    </r>
    <r>
      <rPr>
        <sz val="8"/>
        <color rgb="FF000000"/>
        <rFont val="Meiryo"/>
        <family val="0"/>
        <charset val="1"/>
      </rPr>
      <t xml:space="preserve">12/25</t>
    </r>
    <r>
      <rPr>
        <sz val="8"/>
        <color rgb="FF000000"/>
        <rFont val="WenQuanYi Zen Hei"/>
        <family val="2"/>
      </rPr>
      <t xml:space="preserve">で</t>
    </r>
    <r>
      <rPr>
        <sz val="8"/>
        <color rgb="FF000000"/>
        <rFont val="Meiryo"/>
        <family val="0"/>
        <charset val="1"/>
      </rPr>
      <t xml:space="preserve">RFP</t>
    </r>
    <r>
      <rPr>
        <sz val="8"/>
        <color rgb="FF000000"/>
        <rFont val="WenQuanYi Zen Hei"/>
        <family val="2"/>
      </rPr>
      <t xml:space="preserve">発出</t>
    </r>
    <r>
      <rPr>
        <sz val="8"/>
        <color rgb="FF000000"/>
        <rFont val="Meiryo"/>
        <family val="0"/>
        <charset val="1"/>
      </rPr>
      <t xml:space="preserve">12</t>
    </r>
    <r>
      <rPr>
        <sz val="8"/>
        <color rgb="FF000000"/>
        <rFont val="WenQuanYi Zen Hei"/>
        <family val="2"/>
      </rPr>
      <t xml:space="preserve">月末（仮）となっており、「</t>
    </r>
    <r>
      <rPr>
        <sz val="8"/>
        <color rgb="FF000000"/>
        <rFont val="Meiryo"/>
        <family val="0"/>
        <charset val="1"/>
      </rPr>
      <t xml:space="preserve">9</t>
    </r>
    <r>
      <rPr>
        <sz val="8"/>
        <color rgb="FF000000"/>
        <rFont val="WenQuanYi Zen Hei"/>
        <family val="2"/>
      </rPr>
      <t xml:space="preserve">〜</t>
    </r>
    <r>
      <rPr>
        <sz val="8"/>
        <color rgb="FF000000"/>
        <rFont val="Meiryo"/>
        <family val="0"/>
        <charset val="1"/>
      </rPr>
      <t xml:space="preserve">11</t>
    </r>
    <r>
      <rPr>
        <sz val="8"/>
        <color rgb="FF000000"/>
        <rFont val="WenQuanYi Zen Hei"/>
        <family val="2"/>
      </rPr>
      <t xml:space="preserve">月」の</t>
    </r>
    <r>
      <rPr>
        <sz val="8"/>
        <color rgb="FF000000"/>
        <rFont val="Meiryo"/>
        <family val="0"/>
        <charset val="1"/>
      </rPr>
      <t xml:space="preserve">3</t>
    </r>
    <r>
      <rPr>
        <sz val="8"/>
        <color rgb="FF000000"/>
        <rFont val="WenQuanYi Zen Hei"/>
        <family val="2"/>
      </rPr>
      <t xml:space="preserve">ヶ月完遂計画として成立していない。</t>
    </r>
  </si>
  <si>
    <r>
      <rPr>
        <sz val="8"/>
        <color rgb="FF000000"/>
        <rFont val="Meiryo"/>
        <family val="0"/>
        <charset val="1"/>
      </rPr>
      <t xml:space="preserve">2028</t>
    </r>
    <r>
      <rPr>
        <sz val="8"/>
        <color rgb="FF000000"/>
        <rFont val="WenQuanYi Zen Hei"/>
        <family val="2"/>
      </rPr>
      <t xml:space="preserve">年</t>
    </r>
    <r>
      <rPr>
        <sz val="8"/>
        <color rgb="FF000000"/>
        <rFont val="Meiryo"/>
        <family val="0"/>
        <charset val="1"/>
      </rPr>
      <t xml:space="preserve">1</t>
    </r>
    <r>
      <rPr>
        <sz val="8"/>
        <color rgb="FF000000"/>
        <rFont val="WenQuanYi Zen Hei"/>
        <family val="2"/>
      </rPr>
      <t xml:space="preserve">月本番収集からの逆線表、</t>
    </r>
    <r>
      <rPr>
        <sz val="8"/>
        <color rgb="FF000000"/>
        <rFont val="Meiryo"/>
        <family val="0"/>
        <charset val="1"/>
      </rPr>
      <t xml:space="preserve">9</t>
    </r>
    <r>
      <rPr>
        <sz val="8"/>
        <color rgb="FF000000"/>
        <rFont val="WenQuanYi Zen Hei"/>
        <family val="2"/>
      </rPr>
      <t xml:space="preserve">月末海外拠点ヒアリング完了のマイルストーン化、候補ベンダーのリスト化・応札意思打診の前倒し等、依存関係とクリティカルパスの織り込みは</t>
    </r>
    <r>
      <rPr>
        <sz val="8"/>
        <color rgb="FF000000"/>
        <rFont val="Meiryo"/>
        <family val="0"/>
        <charset val="1"/>
      </rPr>
      <t xml:space="preserve">3</t>
    </r>
    <r>
      <rPr>
        <sz val="8"/>
        <color rgb="FF000000"/>
        <rFont val="WenQuanYi Zen Hei"/>
        <family val="2"/>
      </rPr>
      <t xml:space="preserve">社中最も明確。ただし全体は</t>
    </r>
    <r>
      <rPr>
        <sz val="8"/>
        <color rgb="FF000000"/>
        <rFont val="Meiryo"/>
        <family val="0"/>
        <charset val="1"/>
      </rPr>
      <t xml:space="preserve">5</t>
    </r>
    <r>
      <rPr>
        <sz val="8"/>
        <color rgb="FF000000"/>
        <rFont val="WenQuanYi Zen Hei"/>
        <family val="2"/>
      </rPr>
      <t xml:space="preserve">ヶ月計画であり</t>
    </r>
    <r>
      <rPr>
        <sz val="8"/>
        <color rgb="FF000000"/>
        <rFont val="Meiryo"/>
        <family val="0"/>
        <charset val="1"/>
      </rPr>
      <t xml:space="preserve">11</t>
    </r>
    <r>
      <rPr>
        <sz val="8"/>
        <color rgb="FF000000"/>
        <rFont val="WenQuanYi Zen Hei"/>
        <family val="2"/>
      </rPr>
      <t xml:space="preserve">月末に収まっていない。</t>
    </r>
  </si>
  <si>
    <t xml:space="preserve">D2</t>
  </si>
  <si>
    <t xml:space="preserve">成果物完遂のコミット</t>
  </si>
  <si>
    <r>
      <rPr>
        <sz val="8"/>
        <color rgb="FF000000"/>
        <rFont val="Meiryo"/>
        <family val="0"/>
        <charset val="1"/>
      </rPr>
      <t xml:space="preserve">11</t>
    </r>
    <r>
      <rPr>
        <sz val="8"/>
        <color rgb="FF000000"/>
        <rFont val="WenQuanYi Zen Hei"/>
        <family val="2"/>
      </rPr>
      <t xml:space="preserve">月末までの「システム</t>
    </r>
    <r>
      <rPr>
        <sz val="8"/>
        <color rgb="FF000000"/>
        <rFont val="Meiryo"/>
        <family val="0"/>
        <charset val="1"/>
      </rPr>
      <t xml:space="preserve">RFP</t>
    </r>
    <r>
      <rPr>
        <sz val="8"/>
        <color rgb="FF000000"/>
        <rFont val="WenQuanYi Zen Hei"/>
        <family val="2"/>
      </rPr>
      <t xml:space="preserve">一式の発行完了」を含む成果物</t>
    </r>
    <r>
      <rPr>
        <sz val="8"/>
        <color rgb="FF000000"/>
        <rFont val="Meiryo"/>
        <family val="0"/>
        <charset val="1"/>
      </rPr>
      <t xml:space="preserve">10</t>
    </r>
    <r>
      <rPr>
        <sz val="8"/>
        <color rgb="FF000000"/>
        <rFont val="WenQuanYi Zen Hei"/>
        <family val="2"/>
      </rPr>
      <t xml:space="preserve">点の完遂を工程表つきで確約しているか</t>
    </r>
  </si>
  <si>
    <r>
      <rPr>
        <sz val="8"/>
        <color rgb="FF000000"/>
        <rFont val="WenQuanYi Zen Hei"/>
        <family val="2"/>
      </rPr>
      <t xml:space="preserve">「</t>
    </r>
    <r>
      <rPr>
        <sz val="8"/>
        <color rgb="FF000000"/>
        <rFont val="Meiryo"/>
        <family val="0"/>
        <charset val="1"/>
      </rPr>
      <t xml:space="preserve">11</t>
    </r>
    <r>
      <rPr>
        <sz val="8"/>
        <color rgb="FF000000"/>
        <rFont val="WenQuanYi Zen Hei"/>
        <family val="2"/>
      </rPr>
      <t xml:space="preserve">月末時点で作成した成果物に対して貴社承認済み」「次工程で発出する</t>
    </r>
    <r>
      <rPr>
        <sz val="8"/>
        <color rgb="FF000000"/>
        <rFont val="Meiryo"/>
        <family val="0"/>
        <charset val="1"/>
      </rPr>
      <t xml:space="preserve">RFP</t>
    </r>
    <r>
      <rPr>
        <sz val="8"/>
        <color rgb="FF000000"/>
        <rFont val="WenQuanYi Zen Hei"/>
        <family val="2"/>
      </rPr>
      <t xml:space="preserve">の作成が完了」と完了状態を定義し工程表を提示。唯一</t>
    </r>
    <r>
      <rPr>
        <sz val="8"/>
        <color rgb="FF000000"/>
        <rFont val="Meiryo"/>
        <family val="0"/>
        <charset val="1"/>
      </rPr>
      <t xml:space="preserve">11</t>
    </r>
    <r>
      <rPr>
        <sz val="8"/>
        <color rgb="FF000000"/>
        <rFont val="WenQuanYi Zen Hei"/>
        <family val="2"/>
      </rPr>
      <t xml:space="preserve">月末要求に整合。ただし成果物構成（要件定義書</t>
    </r>
    <r>
      <rPr>
        <sz val="8"/>
        <color rgb="FF000000"/>
        <rFont val="Meiryo"/>
        <family val="0"/>
        <charset val="1"/>
      </rPr>
      <t xml:space="preserve">3</t>
    </r>
    <r>
      <rPr>
        <sz val="8"/>
        <color rgb="FF000000"/>
        <rFont val="WenQuanYi Zen Hei"/>
        <family val="2"/>
      </rPr>
      <t xml:space="preserve">点＋</t>
    </r>
    <r>
      <rPr>
        <sz val="8"/>
        <color rgb="FF000000"/>
        <rFont val="Meiryo"/>
        <family val="0"/>
        <charset val="1"/>
      </rPr>
      <t xml:space="preserve">RFP</t>
    </r>
    <r>
      <rPr>
        <sz val="8"/>
        <color rgb="FF000000"/>
        <rFont val="WenQuanYi Zen Hei"/>
        <family val="2"/>
      </rPr>
      <t xml:space="preserve">本紙＋評価要領）と貴社想定成果物</t>
    </r>
    <r>
      <rPr>
        <sz val="8"/>
        <color rgb="FF000000"/>
        <rFont val="Meiryo"/>
        <family val="0"/>
        <charset val="1"/>
      </rPr>
      <t xml:space="preserve">10</t>
    </r>
    <r>
      <rPr>
        <sz val="8"/>
        <color rgb="FF000000"/>
        <rFont val="WenQuanYi Zen Hei"/>
        <family val="2"/>
      </rPr>
      <t xml:space="preserve">点との対応が粗く、対応表を質疑で要確認。</t>
    </r>
  </si>
  <si>
    <r>
      <rPr>
        <sz val="8"/>
        <color rgb="FF000000"/>
        <rFont val="WenQuanYi Zen Hei"/>
        <family val="2"/>
      </rPr>
      <t xml:space="preserve">成果物マッピング表は</t>
    </r>
    <r>
      <rPr>
        <sz val="8"/>
        <color rgb="FF000000"/>
        <rFont val="Meiryo"/>
        <family val="0"/>
        <charset val="1"/>
      </rPr>
      <t xml:space="preserve">3</t>
    </r>
    <r>
      <rPr>
        <sz val="8"/>
        <color rgb="FF000000"/>
        <rFont val="WenQuanYi Zen Hei"/>
        <family val="2"/>
      </rPr>
      <t xml:space="preserve">社中最も丁寧（貴社想定より多い成果物を提示）。ただし</t>
    </r>
    <r>
      <rPr>
        <sz val="8"/>
        <color rgb="FF000000"/>
        <rFont val="Meiryo"/>
        <family val="0"/>
        <charset val="1"/>
      </rPr>
      <t xml:space="preserve">RFP</t>
    </r>
    <r>
      <rPr>
        <sz val="8"/>
        <color rgb="FF000000"/>
        <rFont val="WenQuanYi Zen Hei"/>
        <family val="2"/>
      </rPr>
      <t xml:space="preserve">発出は</t>
    </r>
    <r>
      <rPr>
        <sz val="8"/>
        <color rgb="FF000000"/>
        <rFont val="Meiryo"/>
        <family val="0"/>
        <charset val="1"/>
      </rPr>
      <t xml:space="preserve">12</t>
    </r>
    <r>
      <rPr>
        <sz val="8"/>
        <color rgb="FF000000"/>
        <rFont val="WenQuanYi Zen Hei"/>
        <family val="2"/>
      </rPr>
      <t xml:space="preserve">月末（仮）であり、</t>
    </r>
    <r>
      <rPr>
        <sz val="8"/>
        <color rgb="FF000000"/>
        <rFont val="Meiryo"/>
        <family val="0"/>
        <charset val="1"/>
      </rPr>
      <t xml:space="preserve">11</t>
    </r>
    <r>
      <rPr>
        <sz val="8"/>
        <color rgb="FF000000"/>
        <rFont val="WenQuanYi Zen Hei"/>
        <family val="2"/>
      </rPr>
      <t xml:space="preserve">月末までの「</t>
    </r>
    <r>
      <rPr>
        <sz val="8"/>
        <color rgb="FF000000"/>
        <rFont val="Meiryo"/>
        <family val="0"/>
        <charset val="1"/>
      </rPr>
      <t xml:space="preserve">RFP</t>
    </r>
    <r>
      <rPr>
        <sz val="8"/>
        <color rgb="FF000000"/>
        <rFont val="WenQuanYi Zen Hei"/>
        <family val="2"/>
      </rPr>
      <t xml:space="preserve">一式の発行完了」の確約なし。</t>
    </r>
  </si>
  <si>
    <r>
      <rPr>
        <sz val="8"/>
        <color rgb="FF000000"/>
        <rFont val="WenQuanYi Zen Hei"/>
        <family val="2"/>
      </rPr>
      <t xml:space="preserve">要件定義完了</t>
    </r>
    <r>
      <rPr>
        <sz val="8"/>
        <color rgb="FF000000"/>
        <rFont val="Meiryo"/>
        <family val="0"/>
        <charset val="1"/>
      </rPr>
      <t xml:space="preserve">12</t>
    </r>
    <r>
      <rPr>
        <sz val="8"/>
        <color rgb="FF000000"/>
        <rFont val="WenQuanYi Zen Hei"/>
        <family val="2"/>
      </rPr>
      <t xml:space="preserve">月中旬・</t>
    </r>
    <r>
      <rPr>
        <sz val="8"/>
        <color rgb="FF000000"/>
        <rFont val="Meiryo"/>
        <family val="0"/>
        <charset val="1"/>
      </rPr>
      <t xml:space="preserve">RFP</t>
    </r>
    <r>
      <rPr>
        <sz val="8"/>
        <color rgb="FF000000"/>
        <rFont val="WenQuanYi Zen Hei"/>
        <family val="2"/>
      </rPr>
      <t xml:space="preserve">発行「年内」であり、</t>
    </r>
    <r>
      <rPr>
        <sz val="8"/>
        <color rgb="FF000000"/>
        <rFont val="Meiryo"/>
        <family val="0"/>
        <charset val="1"/>
      </rPr>
      <t xml:space="preserve">11</t>
    </r>
    <r>
      <rPr>
        <sz val="8"/>
        <color rgb="FF000000"/>
        <rFont val="WenQuanYi Zen Hei"/>
        <family val="2"/>
      </rPr>
      <t xml:space="preserve">月末の確約なし。ベンダー評価（</t>
    </r>
    <r>
      <rPr>
        <sz val="8"/>
        <color rgb="FF000000"/>
        <rFont val="Meiryo"/>
        <family val="0"/>
        <charset val="1"/>
      </rPr>
      <t xml:space="preserve">1</t>
    </r>
    <r>
      <rPr>
        <sz val="8"/>
        <color rgb="FF000000"/>
        <rFont val="WenQuanYi Zen Hei"/>
        <family val="2"/>
      </rPr>
      <t xml:space="preserve">月末）まで含む充実したスコープだが、貴社マイルストーンとは約</t>
    </r>
    <r>
      <rPr>
        <sz val="8"/>
        <color rgb="FF000000"/>
        <rFont val="Meiryo"/>
        <family val="0"/>
        <charset val="1"/>
      </rPr>
      <t xml:space="preserve">1</t>
    </r>
    <r>
      <rPr>
        <sz val="8"/>
        <color rgb="FF000000"/>
        <rFont val="WenQuanYi Zen Hei"/>
        <family val="2"/>
      </rPr>
      <t xml:space="preserve">ヶ月のズレ。前倒し可否を質疑で要確認。</t>
    </r>
  </si>
  <si>
    <t xml:space="preserve">D3</t>
  </si>
  <si>
    <t xml:space="preserve">体制の稼働率・継続性</t>
  </si>
  <si>
    <t xml:space="preserve">主要メンバーの稼働率（％）明示、期間中の交代禁止または交代時の品質担保条件、他案件重複の開示</t>
  </si>
  <si>
    <r>
      <rPr>
        <sz val="8"/>
        <color rgb="FF000000"/>
        <rFont val="WenQuanYi Zen Hei"/>
        <family val="2"/>
      </rPr>
      <t xml:space="preserve">フルタイム／パートタイム表記のみで稼働率</t>
    </r>
    <r>
      <rPr>
        <sz val="8"/>
        <color rgb="FF000000"/>
        <rFont val="Meiryo"/>
        <family val="0"/>
        <charset val="1"/>
      </rPr>
      <t xml:space="preserve">%</t>
    </r>
    <r>
      <rPr>
        <sz val="8"/>
        <color rgb="FF000000"/>
        <rFont val="WenQuanYi Zen Hei"/>
        <family val="2"/>
      </rPr>
      <t xml:space="preserve">の明示なし。交代禁止・交代時の品質担保条件なし。主要ポジションの「</t>
    </r>
    <r>
      <rPr>
        <sz val="8"/>
        <color rgb="FF000000"/>
        <rFont val="Meiryo"/>
        <family val="0"/>
        <charset val="1"/>
      </rPr>
      <t xml:space="preserve">or</t>
    </r>
    <r>
      <rPr>
        <sz val="8"/>
        <color rgb="FF000000"/>
        <rFont val="WenQuanYi Zen Hei"/>
        <family val="2"/>
      </rPr>
      <t xml:space="preserve">」表記も継続性上の懸念。</t>
    </r>
  </si>
  <si>
    <r>
      <rPr>
        <sz val="8"/>
        <color rgb="FF000000"/>
        <rFont val="WenQuanYi Zen Hei"/>
        <family val="2"/>
      </rPr>
      <t xml:space="preserve">稼働率</t>
    </r>
    <r>
      <rPr>
        <sz val="8"/>
        <color rgb="FF000000"/>
        <rFont val="Meiryo"/>
        <family val="0"/>
        <charset val="1"/>
      </rPr>
      <t xml:space="preserve">%</t>
    </r>
    <r>
      <rPr>
        <sz val="8"/>
        <color rgb="FF000000"/>
        <rFont val="WenQuanYi Zen Hei"/>
        <family val="2"/>
      </rPr>
      <t xml:space="preserve">を唯一、メンバー別・月別に明示（要求水準に合致）。ただし交代禁止・品質担保条件の記載がなく、</t>
    </r>
    <r>
      <rPr>
        <sz val="8"/>
        <color rgb="FF000000"/>
        <rFont val="Meiryo"/>
        <family val="0"/>
        <charset val="1"/>
      </rPr>
      <t xml:space="preserve">100%</t>
    </r>
    <r>
      <rPr>
        <sz val="8"/>
        <color rgb="FF000000"/>
        <rFont val="WenQuanYi Zen Hei"/>
        <family val="2"/>
      </rPr>
      <t xml:space="preserve">稼働の</t>
    </r>
    <r>
      <rPr>
        <sz val="8"/>
        <color rgb="FF000000"/>
        <rFont val="Meiryo"/>
        <family val="0"/>
        <charset val="1"/>
      </rPr>
      <t xml:space="preserve">3</t>
    </r>
    <r>
      <rPr>
        <sz val="8"/>
        <color rgb="FF000000"/>
        <rFont val="WenQuanYi Zen Hei"/>
        <family val="2"/>
      </rPr>
      <t xml:space="preserve">名が</t>
    </r>
    <r>
      <rPr>
        <sz val="8"/>
        <color rgb="FF000000"/>
        <rFont val="Meiryo"/>
        <family val="0"/>
        <charset val="1"/>
      </rPr>
      <t xml:space="preserve">TBD</t>
    </r>
    <r>
      <rPr>
        <sz val="8"/>
        <color rgb="FF000000"/>
        <rFont val="WenQuanYi Zen Hei"/>
        <family val="2"/>
      </rPr>
      <t xml:space="preserve">である点が減点。</t>
    </r>
  </si>
  <si>
    <r>
      <rPr>
        <sz val="8"/>
        <color rgb="FF000000"/>
        <rFont val="WenQuanYi Zen Hei"/>
        <family val="2"/>
      </rPr>
      <t xml:space="preserve">稼働率</t>
    </r>
    <r>
      <rPr>
        <sz val="8"/>
        <color rgb="FF000000"/>
        <rFont val="Meiryo"/>
        <family val="0"/>
        <charset val="1"/>
      </rPr>
      <t xml:space="preserve">%</t>
    </r>
    <r>
      <rPr>
        <sz val="8"/>
        <color rgb="FF000000"/>
        <rFont val="WenQuanYi Zen Hei"/>
        <family val="2"/>
      </rPr>
      <t xml:space="preserve">の明示なし。「実際の人数はタスクに応じて調整」「参画メンバーは変更になる可能性があります」との注記があり、交代禁止・継続性のコミットが書面上ない。</t>
    </r>
  </si>
  <si>
    <t xml:space="preserve">D4</t>
  </si>
  <si>
    <t xml:space="preserve">遅延リスク管理・手戻り対応</t>
  </si>
  <si>
    <t xml:space="preserve">両輪並行に伴う手戻りの吸収策（バッファ・優先順位ルール・早期警報の仕組み）が計画に組み込まれているか</t>
  </si>
  <si>
    <r>
      <rPr>
        <sz val="8"/>
        <color rgb="FF000000"/>
        <rFont val="WenQuanYi Zen Hei"/>
        <family val="2"/>
      </rPr>
      <t xml:space="preserve">リスク一覧（発生可能性・顕在化防止策・顕在化時対応）を明示。「条件付き要件」により要件未確定でも</t>
    </r>
    <r>
      <rPr>
        <sz val="8"/>
        <color rgb="FF000000"/>
        <rFont val="Meiryo"/>
        <family val="0"/>
        <charset val="1"/>
      </rPr>
      <t xml:space="preserve">RFP</t>
    </r>
    <r>
      <rPr>
        <sz val="8"/>
        <color rgb="FF000000"/>
        <rFont val="WenQuanYi Zen Hei"/>
        <family val="2"/>
      </rPr>
      <t xml:space="preserve">へ進める手戻り吸収策が計画に内蔵されており、両輪並行の前提に整合。</t>
    </r>
  </si>
  <si>
    <t xml:space="preserve">難所⑥として変更連鎖管理を指摘し全体マネジメント機能を設置。ただしバッファ・優先順位ルール・早期警報といった具体的な仕組みの記載はなし。</t>
  </si>
  <si>
    <r>
      <rPr>
        <sz val="8"/>
        <color rgb="FF000000"/>
        <rFont val="WenQuanYi Zen Hei"/>
        <family val="2"/>
      </rPr>
      <t xml:space="preserve">遅延時リカバリ方針の事前合意、マイルストーン・</t>
    </r>
    <r>
      <rPr>
        <sz val="8"/>
        <color rgb="FF000000"/>
        <rFont val="Meiryo"/>
        <family val="0"/>
        <charset val="1"/>
      </rPr>
      <t xml:space="preserve">KPI</t>
    </r>
    <r>
      <rPr>
        <sz val="8"/>
        <color rgb="FF000000"/>
        <rFont val="WenQuanYi Zen Hei"/>
        <family val="2"/>
      </rPr>
      <t xml:space="preserve">モニタリング、選定期間圧縮（応札意思の事前打診・ドラフト</t>
    </r>
    <r>
      <rPr>
        <sz val="8"/>
        <color rgb="FF000000"/>
        <rFont val="Meiryo"/>
        <family val="0"/>
        <charset val="1"/>
      </rPr>
      <t xml:space="preserve">RFP</t>
    </r>
    <r>
      <rPr>
        <sz val="8"/>
        <color rgb="FF000000"/>
        <rFont val="WenQuanYi Zen Hei"/>
        <family val="2"/>
      </rPr>
      <t xml:space="preserve">先行共有）、督促自動化、保証人早期巻き込みによる後出し防止等、遅延・手戻りの予防策が計画に組み込まれている。</t>
    </r>
  </si>
  <si>
    <r>
      <rPr>
        <b val="true"/>
        <sz val="10"/>
        <color rgb="FF000000"/>
        <rFont val="Meiryo"/>
        <family val="0"/>
        <charset val="1"/>
      </rPr>
      <t xml:space="preserve">D </t>
    </r>
    <r>
      <rPr>
        <b val="true"/>
        <sz val="10"/>
        <color rgb="FF000000"/>
        <rFont val="WenQuanYi Zen Hei"/>
        <family val="2"/>
      </rPr>
      <t xml:space="preserve">小計</t>
    </r>
  </si>
  <si>
    <r>
      <rPr>
        <b val="true"/>
        <sz val="11"/>
        <color rgb="FF000000"/>
        <rFont val="WenQuanYi Zen Hei"/>
        <family val="2"/>
      </rPr>
      <t xml:space="preserve">合計（</t>
    </r>
    <r>
      <rPr>
        <b val="true"/>
        <sz val="11"/>
        <color rgb="FF000000"/>
        <rFont val="Meiryo"/>
        <family val="0"/>
        <charset val="1"/>
      </rPr>
      <t xml:space="preserve">Q50</t>
    </r>
    <r>
      <rPr>
        <b val="true"/>
        <sz val="11"/>
        <color rgb="FF000000"/>
        <rFont val="WenQuanYi Zen Hei"/>
        <family val="2"/>
      </rPr>
      <t xml:space="preserve">＋</t>
    </r>
    <r>
      <rPr>
        <b val="true"/>
        <sz val="11"/>
        <color rgb="FF000000"/>
        <rFont val="Meiryo"/>
        <family val="0"/>
        <charset val="1"/>
      </rPr>
      <t xml:space="preserve">C23</t>
    </r>
    <r>
      <rPr>
        <b val="true"/>
        <sz val="11"/>
        <color rgb="FF000000"/>
        <rFont val="WenQuanYi Zen Hei"/>
        <family val="2"/>
      </rPr>
      <t xml:space="preserve">＋</t>
    </r>
    <r>
      <rPr>
        <b val="true"/>
        <sz val="11"/>
        <color rgb="FF000000"/>
        <rFont val="Meiryo"/>
        <family val="0"/>
        <charset val="1"/>
      </rPr>
      <t xml:space="preserve">D27</t>
    </r>
    <r>
      <rPr>
        <b val="true"/>
        <sz val="11"/>
        <color rgb="FF000000"/>
        <rFont val="WenQuanYi Zen Hei"/>
        <family val="2"/>
      </rPr>
      <t xml:space="preserve">）</t>
    </r>
  </si>
  <si>
    <t xml:space="preserve">採点結果サマリ（書面ベース仮採点）</t>
  </si>
  <si>
    <t xml:space="preserve">区分</t>
  </si>
  <si>
    <r>
      <rPr>
        <b val="true"/>
        <sz val="10"/>
        <color rgb="FFFFFFFF"/>
        <rFont val="Meiryo"/>
        <family val="0"/>
        <charset val="1"/>
      </rPr>
      <t xml:space="preserve">A</t>
    </r>
    <r>
      <rPr>
        <b val="true"/>
        <sz val="10"/>
        <color rgb="FFFFFFFF"/>
        <rFont val="WenQuanYi Zen Hei"/>
        <family val="2"/>
      </rPr>
      <t xml:space="preserve">社：ライズ</t>
    </r>
  </si>
  <si>
    <r>
      <rPr>
        <b val="true"/>
        <sz val="10"/>
        <color rgb="FFFFFFFF"/>
        <rFont val="Meiryo"/>
        <family val="0"/>
        <charset val="1"/>
      </rPr>
      <t xml:space="preserve">B</t>
    </r>
    <r>
      <rPr>
        <b val="true"/>
        <sz val="10"/>
        <color rgb="FFFFFFFF"/>
        <rFont val="WenQuanYi Zen Hei"/>
        <family val="2"/>
      </rPr>
      <t xml:space="preserve">社：</t>
    </r>
    <r>
      <rPr>
        <b val="true"/>
        <sz val="10"/>
        <color rgb="FFFFFFFF"/>
        <rFont val="Meiryo"/>
        <family val="0"/>
        <charset val="1"/>
      </rPr>
      <t xml:space="preserve">PwC</t>
    </r>
  </si>
  <si>
    <r>
      <rPr>
        <b val="true"/>
        <sz val="10"/>
        <color rgb="FFFFFFFF"/>
        <rFont val="Meiryo"/>
        <family val="0"/>
        <charset val="1"/>
      </rPr>
      <t xml:space="preserve">C</t>
    </r>
    <r>
      <rPr>
        <b val="true"/>
        <sz val="10"/>
        <color rgb="FFFFFFFF"/>
        <rFont val="WenQuanYi Zen Hei"/>
        <family val="2"/>
      </rPr>
      <t xml:space="preserve">社：アビーム</t>
    </r>
  </si>
  <si>
    <r>
      <rPr>
        <sz val="10"/>
        <color rgb="FF000000"/>
        <rFont val="Meiryo"/>
        <family val="0"/>
        <charset val="1"/>
      </rPr>
      <t xml:space="preserve">Q</t>
    </r>
    <r>
      <rPr>
        <sz val="10"/>
        <color rgb="FF000000"/>
        <rFont val="WenQuanYi Zen Hei"/>
        <family val="2"/>
      </rPr>
      <t xml:space="preserve">：品質</t>
    </r>
  </si>
  <si>
    <r>
      <rPr>
        <sz val="10"/>
        <color rgb="FF000000"/>
        <rFont val="Meiryo"/>
        <family val="0"/>
        <charset val="1"/>
      </rPr>
      <t xml:space="preserve">C</t>
    </r>
    <r>
      <rPr>
        <sz val="10"/>
        <color rgb="FF000000"/>
        <rFont val="WenQuanYi Zen Hei"/>
        <family val="2"/>
      </rPr>
      <t xml:space="preserve">：コスト</t>
    </r>
  </si>
  <si>
    <r>
      <rPr>
        <sz val="10"/>
        <color rgb="FF000000"/>
        <rFont val="Meiryo"/>
        <family val="0"/>
        <charset val="1"/>
      </rPr>
      <t xml:space="preserve">D</t>
    </r>
    <r>
      <rPr>
        <sz val="10"/>
        <color rgb="FF000000"/>
        <rFont val="WenQuanYi Zen Hei"/>
        <family val="2"/>
      </rPr>
      <t xml:space="preserve">：納期</t>
    </r>
  </si>
  <si>
    <t xml:space="preserve">合計</t>
  </si>
  <si>
    <t xml:space="preserve">【総評（書面ベース）】</t>
  </si>
  <si>
    <r>
      <rPr>
        <sz val="9"/>
        <color rgb="FF000000"/>
        <rFont val="Meiryo"/>
        <family val="0"/>
        <charset val="1"/>
      </rPr>
      <t xml:space="preserve">■ C</t>
    </r>
    <r>
      <rPr>
        <sz val="9"/>
        <color rgb="FF000000"/>
        <rFont val="WenQuanYi Zen Hei"/>
        <family val="2"/>
      </rPr>
      <t xml:space="preserve">社アビーム：品質（</t>
    </r>
    <r>
      <rPr>
        <sz val="9"/>
        <color rgb="FF000000"/>
        <rFont val="Meiryo"/>
        <family val="0"/>
        <charset val="1"/>
      </rPr>
      <t xml:space="preserve">Q</t>
    </r>
    <r>
      <rPr>
        <sz val="9"/>
        <color rgb="FF000000"/>
        <rFont val="WenQuanYi Zen Hei"/>
        <family val="2"/>
      </rPr>
      <t xml:space="preserve">）が突出。貴社固有の前提（</t>
    </r>
    <r>
      <rPr>
        <sz val="9"/>
        <color rgb="FF000000"/>
        <rFont val="Meiryo"/>
        <family val="0"/>
        <charset val="1"/>
      </rPr>
      <t xml:space="preserve">Cat11</t>
    </r>
    <r>
      <rPr>
        <sz val="9"/>
        <color rgb="FF000000"/>
        <rFont val="WenQuanYi Zen Hei"/>
        <family val="2"/>
      </rPr>
      <t xml:space="preserve">・戦略並行・</t>
    </r>
    <r>
      <rPr>
        <sz val="9"/>
        <color rgb="FF000000"/>
        <rFont val="Meiryo"/>
        <family val="0"/>
        <charset val="1"/>
      </rPr>
      <t xml:space="preserve">2028/1</t>
    </r>
    <r>
      <rPr>
        <sz val="9"/>
        <color rgb="FF000000"/>
        <rFont val="WenQuanYi Zen Hei"/>
        <family val="2"/>
      </rPr>
      <t xml:space="preserve">逆算）の理解、アジャイル方法論、実名実績（</t>
    </r>
    <r>
      <rPr>
        <sz val="9"/>
        <color rgb="FF000000"/>
        <rFont val="Meiryo"/>
        <family val="0"/>
        <charset val="1"/>
      </rPr>
      <t xml:space="preserve">SG</t>
    </r>
    <r>
      <rPr>
        <sz val="9"/>
        <color rgb="FF000000"/>
        <rFont val="WenQuanYi Zen Hei"/>
        <family val="2"/>
      </rPr>
      <t xml:space="preserve">ホールディングス等）、公認会計士配置が強み。</t>
    </r>
  </si>
  <si>
    <r>
      <rPr>
        <sz val="9"/>
        <color rgb="FF000000"/>
        <rFont val="WenQuanYi Zen Hei"/>
        <family val="2"/>
      </rPr>
      <t xml:space="preserve">　一方、</t>
    </r>
    <r>
      <rPr>
        <sz val="9"/>
        <color rgb="FF000000"/>
        <rFont val="Meiryo"/>
        <family val="0"/>
        <charset val="1"/>
      </rPr>
      <t xml:space="preserve">7,800</t>
    </r>
    <r>
      <rPr>
        <sz val="9"/>
        <color rgb="FF000000"/>
        <rFont val="WenQuanYi Zen Hei"/>
        <family val="2"/>
      </rPr>
      <t xml:space="preserve">万円は「</t>
    </r>
    <r>
      <rPr>
        <sz val="9"/>
        <color rgb="FF000000"/>
        <rFont val="Meiryo"/>
        <family val="0"/>
        <charset val="1"/>
      </rPr>
      <t xml:space="preserve">3</t>
    </r>
    <r>
      <rPr>
        <sz val="9"/>
        <color rgb="FF000000"/>
        <rFont val="WenQuanYi Zen Hei"/>
        <family val="2"/>
      </rPr>
      <t xml:space="preserve">ヶ月・成果物</t>
    </r>
    <r>
      <rPr>
        <sz val="9"/>
        <color rgb="FF000000"/>
        <rFont val="Meiryo"/>
        <family val="0"/>
        <charset val="1"/>
      </rPr>
      <t xml:space="preserve">10</t>
    </r>
    <r>
      <rPr>
        <sz val="9"/>
        <color rgb="FF000000"/>
        <rFont val="WenQuanYi Zen Hei"/>
        <family val="2"/>
      </rPr>
      <t xml:space="preserve">点」の基準スコープ外（ベンダー評価・非システム課題・効果試算・</t>
    </r>
    <r>
      <rPr>
        <sz val="9"/>
        <color rgb="FF000000"/>
        <rFont val="Meiryo"/>
        <family val="0"/>
        <charset val="1"/>
      </rPr>
      <t xml:space="preserve">5</t>
    </r>
    <r>
      <rPr>
        <sz val="9"/>
        <color rgb="FF000000"/>
        <rFont val="WenQuanYi Zen Hei"/>
        <family val="2"/>
      </rPr>
      <t xml:space="preserve">ヶ月）を含み、切り出し見積りなしでは価格妥当性を検証できない。</t>
    </r>
    <r>
      <rPr>
        <sz val="9"/>
        <color rgb="FF000000"/>
        <rFont val="Meiryo"/>
        <family val="0"/>
        <charset val="1"/>
      </rPr>
      <t xml:space="preserve">RFP</t>
    </r>
    <r>
      <rPr>
        <sz val="9"/>
        <color rgb="FF000000"/>
        <rFont val="WenQuanYi Zen Hei"/>
        <family val="2"/>
      </rPr>
      <t xml:space="preserve">発行も「年内」で</t>
    </r>
    <r>
      <rPr>
        <sz val="9"/>
        <color rgb="FF000000"/>
        <rFont val="Meiryo"/>
        <family val="0"/>
        <charset val="1"/>
      </rPr>
      <t xml:space="preserve">11</t>
    </r>
    <r>
      <rPr>
        <sz val="9"/>
        <color rgb="FF000000"/>
        <rFont val="WenQuanYi Zen Hei"/>
        <family val="2"/>
      </rPr>
      <t xml:space="preserve">月末未達。</t>
    </r>
  </si>
  <si>
    <r>
      <rPr>
        <sz val="9"/>
        <color rgb="FF000000"/>
        <rFont val="Meiryo"/>
        <family val="0"/>
        <charset val="1"/>
      </rPr>
      <t xml:space="preserve">■ B</t>
    </r>
    <r>
      <rPr>
        <sz val="9"/>
        <color rgb="FF000000"/>
        <rFont val="WenQuanYi Zen Hei"/>
        <family val="2"/>
      </rPr>
      <t xml:space="preserve">社</t>
    </r>
    <r>
      <rPr>
        <sz val="9"/>
        <color rgb="FF000000"/>
        <rFont val="Meiryo"/>
        <family val="0"/>
        <charset val="1"/>
      </rPr>
      <t xml:space="preserve">PwC</t>
    </r>
    <r>
      <rPr>
        <sz val="9"/>
        <color rgb="FF000000"/>
        <rFont val="WenQuanYi Zen Hei"/>
        <family val="2"/>
      </rPr>
      <t xml:space="preserve">：守りの設計力（統制・証跡）と導入実績の定量規模はトップ級。</t>
    </r>
    <r>
      <rPr>
        <sz val="9"/>
        <color rgb="FF000000"/>
        <rFont val="Meiryo"/>
        <family val="0"/>
        <charset val="1"/>
      </rPr>
      <t xml:space="preserve">3</t>
    </r>
    <r>
      <rPr>
        <sz val="9"/>
        <color rgb="FF000000"/>
        <rFont val="WenQuanYi Zen Hei"/>
        <family val="2"/>
      </rPr>
      <t xml:space="preserve">案提示・稼働率</t>
    </r>
    <r>
      <rPr>
        <sz val="9"/>
        <color rgb="FF000000"/>
        <rFont val="Meiryo"/>
        <family val="0"/>
        <charset val="1"/>
      </rPr>
      <t xml:space="preserve">%</t>
    </r>
    <r>
      <rPr>
        <sz val="9"/>
        <color rgb="FF000000"/>
        <rFont val="WenQuanYi Zen Hei"/>
        <family val="2"/>
      </rPr>
      <t xml:space="preserve">開示など透明性は最良。</t>
    </r>
  </si>
  <si>
    <r>
      <rPr>
        <sz val="9"/>
        <color rgb="FF000000"/>
        <rFont val="WenQuanYi Zen Hei"/>
        <family val="2"/>
      </rPr>
      <t xml:space="preserve">　致命的な懸念は①実働</t>
    </r>
    <r>
      <rPr>
        <sz val="9"/>
        <color rgb="FF000000"/>
        <rFont val="Meiryo"/>
        <family val="0"/>
        <charset val="1"/>
      </rPr>
      <t xml:space="preserve">3</t>
    </r>
    <r>
      <rPr>
        <sz val="9"/>
        <color rgb="FF000000"/>
        <rFont val="WenQuanYi Zen Hei"/>
        <family val="2"/>
      </rPr>
      <t xml:space="preserve">名（</t>
    </r>
    <r>
      <rPr>
        <sz val="9"/>
        <color rgb="FF000000"/>
        <rFont val="Meiryo"/>
        <family val="0"/>
        <charset val="1"/>
      </rPr>
      <t xml:space="preserve">100%</t>
    </r>
    <r>
      <rPr>
        <sz val="9"/>
        <color rgb="FF000000"/>
        <rFont val="WenQuanYi Zen Hei"/>
        <family val="2"/>
      </rPr>
      <t xml:space="preserve">稼働）が全員</t>
    </r>
    <r>
      <rPr>
        <sz val="9"/>
        <color rgb="FF000000"/>
        <rFont val="Meiryo"/>
        <family val="0"/>
        <charset val="1"/>
      </rPr>
      <t xml:space="preserve">TBD</t>
    </r>
    <r>
      <rPr>
        <sz val="9"/>
        <color rgb="FF000000"/>
        <rFont val="WenQuanYi Zen Hei"/>
        <family val="2"/>
      </rPr>
      <t xml:space="preserve">＝品質の担い手が不明、②</t>
    </r>
    <r>
      <rPr>
        <sz val="9"/>
        <color rgb="FF000000"/>
        <rFont val="Meiryo"/>
        <family val="0"/>
        <charset val="1"/>
      </rPr>
      <t xml:space="preserve">RFP</t>
    </r>
    <r>
      <rPr>
        <sz val="9"/>
        <color rgb="FF000000"/>
        <rFont val="WenQuanYi Zen Hei"/>
        <family val="2"/>
      </rPr>
      <t xml:space="preserve">発出</t>
    </r>
    <r>
      <rPr>
        <sz val="9"/>
        <color rgb="FF000000"/>
        <rFont val="Meiryo"/>
        <family val="0"/>
        <charset val="1"/>
      </rPr>
      <t xml:space="preserve">12</t>
    </r>
    <r>
      <rPr>
        <sz val="9"/>
        <color rgb="FF000000"/>
        <rFont val="WenQuanYi Zen Hei"/>
        <family val="2"/>
      </rPr>
      <t xml:space="preserve">月末（仮）＝</t>
    </r>
    <r>
      <rPr>
        <sz val="9"/>
        <color rgb="FF000000"/>
        <rFont val="Meiryo"/>
        <family val="0"/>
        <charset val="1"/>
      </rPr>
      <t xml:space="preserve">11</t>
    </r>
    <r>
      <rPr>
        <sz val="9"/>
        <color rgb="FF000000"/>
        <rFont val="WenQuanYi Zen Hei"/>
        <family val="2"/>
      </rPr>
      <t xml:space="preserve">月末要求と不整合、の</t>
    </r>
    <r>
      <rPr>
        <sz val="9"/>
        <color rgb="FF000000"/>
        <rFont val="Meiryo"/>
        <family val="0"/>
        <charset val="1"/>
      </rPr>
      <t xml:space="preserve">2</t>
    </r>
    <r>
      <rPr>
        <sz val="9"/>
        <color rgb="FF000000"/>
        <rFont val="WenQuanYi Zen Hei"/>
        <family val="2"/>
      </rPr>
      <t xml:space="preserve">点。質疑での解消が採用の前提条件。</t>
    </r>
  </si>
  <si>
    <r>
      <rPr>
        <sz val="9"/>
        <color rgb="FF000000"/>
        <rFont val="Meiryo"/>
        <family val="0"/>
        <charset val="1"/>
      </rPr>
      <t xml:space="preserve">■ A</t>
    </r>
    <r>
      <rPr>
        <sz val="9"/>
        <color rgb="FF000000"/>
        <rFont val="WenQuanYi Zen Hei"/>
        <family val="2"/>
      </rPr>
      <t xml:space="preserve">社ライズ：唯一</t>
    </r>
    <r>
      <rPr>
        <sz val="9"/>
        <color rgb="FF000000"/>
        <rFont val="Meiryo"/>
        <family val="0"/>
        <charset val="1"/>
      </rPr>
      <t xml:space="preserve">11</t>
    </r>
    <r>
      <rPr>
        <sz val="9"/>
        <color rgb="FF000000"/>
        <rFont val="WenQuanYi Zen Hei"/>
        <family val="2"/>
      </rPr>
      <t xml:space="preserve">月末</t>
    </r>
    <r>
      <rPr>
        <sz val="9"/>
        <color rgb="FF000000"/>
        <rFont val="Meiryo"/>
        <family val="0"/>
        <charset val="1"/>
      </rPr>
      <t xml:space="preserve">RFP</t>
    </r>
    <r>
      <rPr>
        <sz val="9"/>
        <color rgb="FF000000"/>
        <rFont val="WenQuanYi Zen Hei"/>
        <family val="2"/>
      </rPr>
      <t xml:space="preserve">完成にコミットし価格も最安（値引後</t>
    </r>
    <r>
      <rPr>
        <sz val="9"/>
        <color rgb="FF000000"/>
        <rFont val="Meiryo"/>
        <family val="0"/>
        <charset val="1"/>
      </rPr>
      <t xml:space="preserve">2,400</t>
    </r>
    <r>
      <rPr>
        <sz val="9"/>
        <color rgb="FF000000"/>
        <rFont val="WenQuanYi Zen Hei"/>
        <family val="2"/>
      </rPr>
      <t xml:space="preserve">万円）。「条件付き要件」の方法論は本件の特殊前提に整合。</t>
    </r>
  </si>
  <si>
    <r>
      <rPr>
        <sz val="9"/>
        <color rgb="FF000000"/>
        <rFont val="WenQuanYi Zen Hei"/>
        <family val="2"/>
      </rPr>
      <t xml:space="preserve">　ただし</t>
    </r>
    <r>
      <rPr>
        <sz val="9"/>
        <color rgb="FF000000"/>
        <rFont val="Meiryo"/>
        <family val="0"/>
        <charset val="1"/>
      </rPr>
      <t xml:space="preserve">SSBJ</t>
    </r>
    <r>
      <rPr>
        <sz val="9"/>
        <color rgb="FF000000"/>
        <rFont val="WenQuanYi Zen Hei"/>
        <family val="2"/>
      </rPr>
      <t xml:space="preserve">固有の会社実績が</t>
    </r>
    <r>
      <rPr>
        <sz val="9"/>
        <color rgb="FF000000"/>
        <rFont val="Meiryo"/>
        <family val="0"/>
        <charset val="1"/>
      </rPr>
      <t xml:space="preserve">4</t>
    </r>
    <r>
      <rPr>
        <sz val="9"/>
        <color rgb="FF000000"/>
        <rFont val="WenQuanYi Zen Hei"/>
        <family val="2"/>
      </rPr>
      <t xml:space="preserve">点セットで示されず、主要メンバーが「</t>
    </r>
    <r>
      <rPr>
        <sz val="9"/>
        <color rgb="FF000000"/>
        <rFont val="Meiryo"/>
        <family val="0"/>
        <charset val="1"/>
      </rPr>
      <t xml:space="preserve">or</t>
    </r>
    <r>
      <rPr>
        <sz val="9"/>
        <color rgb="FF000000"/>
        <rFont val="WenQuanYi Zen Hei"/>
        <family val="2"/>
      </rPr>
      <t xml:space="preserve">」表記で未確定、</t>
    </r>
    <r>
      <rPr>
        <sz val="9"/>
        <color rgb="FF000000"/>
        <rFont val="Meiryo"/>
        <family val="0"/>
        <charset val="1"/>
      </rPr>
      <t xml:space="preserve">32%</t>
    </r>
    <r>
      <rPr>
        <sz val="9"/>
        <color rgb="FF000000"/>
        <rFont val="WenQuanYi Zen Hei"/>
        <family val="2"/>
      </rPr>
      <t xml:space="preserve">値引きは安値の実態確認（体制・品質の維持可否）が必要。</t>
    </r>
  </si>
  <si>
    <t xml:space="preserve">【コンペ質疑での必須確認事項】</t>
  </si>
  <si>
    <r>
      <rPr>
        <sz val="9"/>
        <color rgb="FF000000"/>
        <rFont val="WenQuanYi Zen Hei"/>
        <family val="2"/>
      </rPr>
      <t xml:space="preserve">・全社共通：貴社想定成果物</t>
    </r>
    <r>
      <rPr>
        <sz val="9"/>
        <color rgb="FF000000"/>
        <rFont val="Meiryo"/>
        <family val="0"/>
        <charset val="1"/>
      </rPr>
      <t xml:space="preserve">10</t>
    </r>
    <r>
      <rPr>
        <sz val="9"/>
        <color rgb="FF000000"/>
        <rFont val="WenQuanYi Zen Hei"/>
        <family val="2"/>
      </rPr>
      <t xml:space="preserve">点との対応表／「</t>
    </r>
    <r>
      <rPr>
        <sz val="9"/>
        <color rgb="FF000000"/>
        <rFont val="Meiryo"/>
        <family val="0"/>
        <charset val="1"/>
      </rPr>
      <t xml:space="preserve">11</t>
    </r>
    <r>
      <rPr>
        <sz val="9"/>
        <color rgb="FF000000"/>
        <rFont val="WenQuanYi Zen Hei"/>
        <family val="2"/>
      </rPr>
      <t xml:space="preserve">月末</t>
    </r>
    <r>
      <rPr>
        <sz val="9"/>
        <color rgb="FF000000"/>
        <rFont val="Meiryo"/>
        <family val="0"/>
        <charset val="1"/>
      </rPr>
      <t xml:space="preserve">RFP</t>
    </r>
    <r>
      <rPr>
        <sz val="9"/>
        <color rgb="FF000000"/>
        <rFont val="WenQuanYi Zen Hei"/>
        <family val="2"/>
      </rPr>
      <t xml:space="preserve">発行完了」の達成可否と前提／ランク別単価</t>
    </r>
    <r>
      <rPr>
        <sz val="9"/>
        <color rgb="FF000000"/>
        <rFont val="Meiryo"/>
        <family val="0"/>
        <charset val="1"/>
      </rPr>
      <t xml:space="preserve">×</t>
    </r>
    <r>
      <rPr>
        <sz val="9"/>
        <color rgb="FF000000"/>
        <rFont val="WenQuanYi Zen Hei"/>
        <family val="2"/>
      </rPr>
      <t xml:space="preserve">稼働率</t>
    </r>
    <r>
      <rPr>
        <sz val="9"/>
        <color rgb="FF000000"/>
        <rFont val="Meiryo"/>
        <family val="0"/>
        <charset val="1"/>
      </rPr>
      <t xml:space="preserve">×</t>
    </r>
    <r>
      <rPr>
        <sz val="9"/>
        <color rgb="FF000000"/>
        <rFont val="WenQuanYi Zen Hei"/>
        <family val="2"/>
      </rPr>
      <t xml:space="preserve">期間の内訳（統一フォーマット）</t>
    </r>
  </si>
  <si>
    <r>
      <rPr>
        <sz val="9"/>
        <color rgb="FF000000"/>
        <rFont val="WenQuanYi Zen Hei"/>
        <family val="2"/>
      </rPr>
      <t xml:space="preserve">・</t>
    </r>
    <r>
      <rPr>
        <sz val="9"/>
        <color rgb="FF000000"/>
        <rFont val="Meiryo"/>
        <family val="0"/>
        <charset val="1"/>
      </rPr>
      <t xml:space="preserve">A</t>
    </r>
    <r>
      <rPr>
        <sz val="9"/>
        <color rgb="FF000000"/>
        <rFont val="WenQuanYi Zen Hei"/>
        <family val="2"/>
      </rPr>
      <t xml:space="preserve">社：値引きの持続性（次フェーズ単価）／</t>
    </r>
    <r>
      <rPr>
        <sz val="9"/>
        <color rgb="FF000000"/>
        <rFont val="Meiryo"/>
        <family val="0"/>
        <charset val="1"/>
      </rPr>
      <t xml:space="preserve">PM</t>
    </r>
    <r>
      <rPr>
        <sz val="9"/>
        <color rgb="FF000000"/>
        <rFont val="WenQuanYi Zen Hei"/>
        <family val="2"/>
      </rPr>
      <t xml:space="preserve">・リードの確定と本人出席／</t>
    </r>
    <r>
      <rPr>
        <sz val="9"/>
        <color rgb="FF000000"/>
        <rFont val="Meiryo"/>
        <family val="0"/>
        <charset val="1"/>
      </rPr>
      <t xml:space="preserve">SSBJ</t>
    </r>
    <r>
      <rPr>
        <sz val="9"/>
        <color rgb="FF000000"/>
        <rFont val="WenQuanYi Zen Hei"/>
        <family val="2"/>
      </rPr>
      <t xml:space="preserve">類似案件の会社実績</t>
    </r>
  </si>
  <si>
    <r>
      <rPr>
        <sz val="9"/>
        <color rgb="FF000000"/>
        <rFont val="WenQuanYi Zen Hei"/>
        <family val="2"/>
      </rPr>
      <t xml:space="preserve">・</t>
    </r>
    <r>
      <rPr>
        <sz val="9"/>
        <color rgb="FF000000"/>
        <rFont val="Meiryo"/>
        <family val="0"/>
        <charset val="1"/>
      </rPr>
      <t xml:space="preserve">B</t>
    </r>
    <r>
      <rPr>
        <sz val="9"/>
        <color rgb="FF000000"/>
        <rFont val="WenQuanYi Zen Hei"/>
        <family val="2"/>
      </rPr>
      <t xml:space="preserve">社：実働</t>
    </r>
    <r>
      <rPr>
        <sz val="9"/>
        <color rgb="FF000000"/>
        <rFont val="Meiryo"/>
        <family val="0"/>
        <charset val="1"/>
      </rPr>
      <t xml:space="preserve">3</t>
    </r>
    <r>
      <rPr>
        <sz val="9"/>
        <color rgb="FF000000"/>
        <rFont val="WenQuanYi Zen Hei"/>
        <family val="2"/>
      </rPr>
      <t xml:space="preserve">名の実名・経歴の提示／</t>
    </r>
    <r>
      <rPr>
        <sz val="9"/>
        <color rgb="FF000000"/>
        <rFont val="Meiryo"/>
        <family val="0"/>
        <charset val="1"/>
      </rPr>
      <t xml:space="preserve">11</t>
    </r>
    <r>
      <rPr>
        <sz val="9"/>
        <color rgb="FF000000"/>
        <rFont val="WenQuanYi Zen Hei"/>
        <family val="2"/>
      </rPr>
      <t xml:space="preserve">月末完了へ前倒しした場合の体制・金額／交代時の品質担保条件</t>
    </r>
  </si>
  <si>
    <r>
      <rPr>
        <sz val="9"/>
        <color rgb="FF000000"/>
        <rFont val="WenQuanYi Zen Hei"/>
        <family val="2"/>
      </rPr>
      <t xml:space="preserve">・</t>
    </r>
    <r>
      <rPr>
        <sz val="9"/>
        <color rgb="FF000000"/>
        <rFont val="Meiryo"/>
        <family val="0"/>
        <charset val="1"/>
      </rPr>
      <t xml:space="preserve">C</t>
    </r>
    <r>
      <rPr>
        <sz val="9"/>
        <color rgb="FF000000"/>
        <rFont val="WenQuanYi Zen Hei"/>
        <family val="2"/>
      </rPr>
      <t xml:space="preserve">社：基準スコープ（</t>
    </r>
    <r>
      <rPr>
        <sz val="9"/>
        <color rgb="FF000000"/>
        <rFont val="Meiryo"/>
        <family val="0"/>
        <charset val="1"/>
      </rPr>
      <t xml:space="preserve">3</t>
    </r>
    <r>
      <rPr>
        <sz val="9"/>
        <color rgb="FF000000"/>
        <rFont val="WenQuanYi Zen Hei"/>
        <family val="2"/>
      </rPr>
      <t xml:space="preserve">ヶ月・</t>
    </r>
    <r>
      <rPr>
        <sz val="9"/>
        <color rgb="FF000000"/>
        <rFont val="Meiryo"/>
        <family val="0"/>
        <charset val="1"/>
      </rPr>
      <t xml:space="preserve">RFP</t>
    </r>
    <r>
      <rPr>
        <sz val="9"/>
        <color rgb="FF000000"/>
        <rFont val="WenQuanYi Zen Hei"/>
        <family val="2"/>
      </rPr>
      <t xml:space="preserve">作成まで）の切り出し金額／</t>
    </r>
    <r>
      <rPr>
        <sz val="9"/>
        <color rgb="FF000000"/>
        <rFont val="Meiryo"/>
        <family val="0"/>
        <charset val="1"/>
      </rPr>
      <t xml:space="preserve">11</t>
    </r>
    <r>
      <rPr>
        <sz val="9"/>
        <color rgb="FF000000"/>
        <rFont val="WenQuanYi Zen Hei"/>
        <family val="2"/>
      </rPr>
      <t xml:space="preserve">月末前倒しの可否／稼働率</t>
    </r>
    <r>
      <rPr>
        <sz val="9"/>
        <color rgb="FF000000"/>
        <rFont val="Meiryo"/>
        <family val="0"/>
        <charset val="1"/>
      </rPr>
      <t xml:space="preserve">%</t>
    </r>
    <r>
      <rPr>
        <sz val="9"/>
        <color rgb="FF000000"/>
        <rFont val="WenQuanYi Zen Hei"/>
        <family val="2"/>
      </rPr>
      <t xml:space="preserve">と交代条件の明示</t>
    </r>
  </si>
  <si>
    <r>
      <rPr>
        <b val="true"/>
        <sz val="13"/>
        <color rgb="FFFFFFFF"/>
        <rFont val="WenQuanYi Zen Hei"/>
        <family val="2"/>
      </rPr>
      <t xml:space="preserve">金額差の要因分析と</t>
    </r>
    <r>
      <rPr>
        <b val="true"/>
        <sz val="13"/>
        <color rgb="FFFFFFFF"/>
        <rFont val="Meiryo"/>
        <family val="0"/>
        <charset val="1"/>
      </rPr>
      <t xml:space="preserve">Apple to Apple</t>
    </r>
    <r>
      <rPr>
        <b val="true"/>
        <sz val="13"/>
        <color rgb="FFFFFFFF"/>
        <rFont val="WenQuanYi Zen Hei"/>
        <family val="2"/>
      </rPr>
      <t xml:space="preserve">化の方法</t>
    </r>
  </si>
  <si>
    <t xml:space="preserve">比較項目</t>
  </si>
  <si>
    <t xml:space="preserve">備考</t>
  </si>
  <si>
    <t xml:space="preserve">提示金額（税抜）</t>
  </si>
  <si>
    <r>
      <rPr>
        <sz val="9"/>
        <color rgb="FF000000"/>
        <rFont val="Meiryo"/>
        <family val="0"/>
        <charset val="1"/>
      </rPr>
      <t xml:space="preserve">2,400</t>
    </r>
    <r>
      <rPr>
        <sz val="9"/>
        <color rgb="FF000000"/>
        <rFont val="WenQuanYi Zen Hei"/>
        <family val="2"/>
      </rPr>
      <t xml:space="preserve">万円
（定価</t>
    </r>
    <r>
      <rPr>
        <sz val="9"/>
        <color rgb="FF000000"/>
        <rFont val="Meiryo"/>
        <family val="0"/>
        <charset val="1"/>
      </rPr>
      <t xml:space="preserve">3,520</t>
    </r>
    <r>
      <rPr>
        <sz val="9"/>
        <color rgb="FF000000"/>
        <rFont val="WenQuanYi Zen Hei"/>
        <family val="2"/>
      </rPr>
      <t xml:space="preserve">万円、値引▲</t>
    </r>
    <r>
      <rPr>
        <sz val="9"/>
        <color rgb="FF000000"/>
        <rFont val="Meiryo"/>
        <family val="0"/>
        <charset val="1"/>
      </rPr>
      <t xml:space="preserve">1,120</t>
    </r>
    <r>
      <rPr>
        <sz val="9"/>
        <color rgb="FF000000"/>
        <rFont val="WenQuanYi Zen Hei"/>
        <family val="2"/>
      </rPr>
      <t xml:space="preserve">万円）</t>
    </r>
  </si>
  <si>
    <r>
      <rPr>
        <sz val="9"/>
        <color rgb="FF000000"/>
        <rFont val="WenQuanYi Zen Hei"/>
        <family val="2"/>
      </rPr>
      <t xml:space="preserve">案① </t>
    </r>
    <r>
      <rPr>
        <sz val="9"/>
        <color rgb="FF000000"/>
        <rFont val="Meiryo"/>
        <family val="0"/>
        <charset val="1"/>
      </rPr>
      <t xml:space="preserve">3,350</t>
    </r>
    <r>
      <rPr>
        <sz val="9"/>
        <color rgb="FF000000"/>
        <rFont val="WenQuanYi Zen Hei"/>
        <family val="2"/>
      </rPr>
      <t xml:space="preserve">万円
案② </t>
    </r>
    <r>
      <rPr>
        <sz val="9"/>
        <color rgb="FF000000"/>
        <rFont val="Meiryo"/>
        <family val="0"/>
        <charset val="1"/>
      </rPr>
      <t xml:space="preserve">2,700</t>
    </r>
    <r>
      <rPr>
        <sz val="9"/>
        <color rgb="FF000000"/>
        <rFont val="WenQuanYi Zen Hei"/>
        <family val="2"/>
      </rPr>
      <t xml:space="preserve">万円
案③ </t>
    </r>
    <r>
      <rPr>
        <sz val="9"/>
        <color rgb="FF000000"/>
        <rFont val="Meiryo"/>
        <family val="0"/>
        <charset val="1"/>
      </rPr>
      <t xml:space="preserve">2,150</t>
    </r>
    <r>
      <rPr>
        <sz val="9"/>
        <color rgb="FF000000"/>
        <rFont val="WenQuanYi Zen Hei"/>
        <family val="2"/>
      </rPr>
      <t xml:space="preserve">万円</t>
    </r>
  </si>
  <si>
    <r>
      <rPr>
        <sz val="9"/>
        <color rgb="FF000000"/>
        <rFont val="Meiryo"/>
        <family val="0"/>
        <charset val="1"/>
      </rPr>
      <t xml:space="preserve">7,800</t>
    </r>
    <r>
      <rPr>
        <sz val="9"/>
        <color rgb="FF000000"/>
        <rFont val="WenQuanYi Zen Hei"/>
        <family val="2"/>
      </rPr>
      <t xml:space="preserve">万円</t>
    </r>
  </si>
  <si>
    <t xml:space="preserve">スコープが各社異なるため、この金額の直接比較は不可</t>
  </si>
  <si>
    <t xml:space="preserve">支援期間</t>
  </si>
  <si>
    <r>
      <rPr>
        <sz val="9"/>
        <color rgb="FF000000"/>
        <rFont val="Meiryo"/>
        <family val="0"/>
        <charset val="1"/>
      </rPr>
      <t xml:space="preserve">9/1</t>
    </r>
    <r>
      <rPr>
        <sz val="9"/>
        <color rgb="FF000000"/>
        <rFont val="WenQuanYi Zen Hei"/>
        <family val="2"/>
      </rPr>
      <t xml:space="preserve">〜</t>
    </r>
    <r>
      <rPr>
        <sz val="9"/>
        <color rgb="FF000000"/>
        <rFont val="Meiryo"/>
        <family val="0"/>
        <charset val="1"/>
      </rPr>
      <t xml:space="preserve">11/30</t>
    </r>
    <r>
      <rPr>
        <sz val="9"/>
        <color rgb="FF000000"/>
        <rFont val="WenQuanYi Zen Hei"/>
        <family val="2"/>
      </rPr>
      <t xml:space="preserve">（</t>
    </r>
    <r>
      <rPr>
        <sz val="9"/>
        <color rgb="FF000000"/>
        <rFont val="Meiryo"/>
        <family val="0"/>
        <charset val="1"/>
      </rPr>
      <t xml:space="preserve">3.0</t>
    </r>
    <r>
      <rPr>
        <sz val="9"/>
        <color rgb="FF000000"/>
        <rFont val="WenQuanYi Zen Hei"/>
        <family val="2"/>
      </rPr>
      <t xml:space="preserve">ヶ月）</t>
    </r>
  </si>
  <si>
    <r>
      <rPr>
        <sz val="9"/>
        <color rgb="FF000000"/>
        <rFont val="Meiryo"/>
        <family val="0"/>
        <charset val="1"/>
      </rPr>
      <t xml:space="preserve">9/7</t>
    </r>
    <r>
      <rPr>
        <sz val="9"/>
        <color rgb="FF000000"/>
        <rFont val="WenQuanYi Zen Hei"/>
        <family val="2"/>
      </rPr>
      <t xml:space="preserve">〜</t>
    </r>
    <r>
      <rPr>
        <sz val="9"/>
        <color rgb="FF000000"/>
        <rFont val="Meiryo"/>
        <family val="0"/>
        <charset val="1"/>
      </rPr>
      <t xml:space="preserve">12/25</t>
    </r>
    <r>
      <rPr>
        <sz val="9"/>
        <color rgb="FF000000"/>
        <rFont val="WenQuanYi Zen Hei"/>
        <family val="2"/>
      </rPr>
      <t xml:space="preserve">（約</t>
    </r>
    <r>
      <rPr>
        <sz val="9"/>
        <color rgb="FF000000"/>
        <rFont val="Meiryo"/>
        <family val="0"/>
        <charset val="1"/>
      </rPr>
      <t xml:space="preserve">3.6</t>
    </r>
    <r>
      <rPr>
        <sz val="9"/>
        <color rgb="FF000000"/>
        <rFont val="WenQuanYi Zen Hei"/>
        <family val="2"/>
      </rPr>
      <t xml:space="preserve">ヶ月）</t>
    </r>
  </si>
  <si>
    <r>
      <rPr>
        <sz val="9"/>
        <color rgb="FF000000"/>
        <rFont val="Meiryo"/>
        <family val="0"/>
        <charset val="1"/>
      </rPr>
      <t xml:space="preserve">9/1</t>
    </r>
    <r>
      <rPr>
        <sz val="9"/>
        <color rgb="FF000000"/>
        <rFont val="WenQuanYi Zen Hei"/>
        <family val="2"/>
      </rPr>
      <t xml:space="preserve">〜</t>
    </r>
    <r>
      <rPr>
        <sz val="9"/>
        <color rgb="FF000000"/>
        <rFont val="Meiryo"/>
        <family val="0"/>
        <charset val="1"/>
      </rPr>
      <t xml:space="preserve">1/31</t>
    </r>
    <r>
      <rPr>
        <sz val="9"/>
        <color rgb="FF000000"/>
        <rFont val="WenQuanYi Zen Hei"/>
        <family val="2"/>
      </rPr>
      <t xml:space="preserve">（</t>
    </r>
    <r>
      <rPr>
        <sz val="9"/>
        <color rgb="FF000000"/>
        <rFont val="Meiryo"/>
        <family val="0"/>
        <charset val="1"/>
      </rPr>
      <t xml:space="preserve">5.0</t>
    </r>
    <r>
      <rPr>
        <sz val="9"/>
        <color rgb="FF000000"/>
        <rFont val="WenQuanYi Zen Hei"/>
        <family val="2"/>
      </rPr>
      <t xml:space="preserve">ヶ月）</t>
    </r>
  </si>
  <si>
    <r>
      <rPr>
        <sz val="9"/>
        <color rgb="FF000000"/>
        <rFont val="WenQuanYi Zen Hei"/>
        <family val="2"/>
      </rPr>
      <t xml:space="preserve">貴社要求は</t>
    </r>
    <r>
      <rPr>
        <sz val="9"/>
        <color rgb="FF000000"/>
        <rFont val="Meiryo"/>
        <family val="0"/>
        <charset val="1"/>
      </rPr>
      <t xml:space="preserve">9</t>
    </r>
    <r>
      <rPr>
        <sz val="9"/>
        <color rgb="FF000000"/>
        <rFont val="WenQuanYi Zen Hei"/>
        <family val="2"/>
      </rPr>
      <t xml:space="preserve">〜</t>
    </r>
    <r>
      <rPr>
        <sz val="9"/>
        <color rgb="FF000000"/>
        <rFont val="Meiryo"/>
        <family val="0"/>
        <charset val="1"/>
      </rPr>
      <t xml:space="preserve">11</t>
    </r>
    <r>
      <rPr>
        <sz val="9"/>
        <color rgb="FF000000"/>
        <rFont val="WenQuanYi Zen Hei"/>
        <family val="2"/>
      </rPr>
      <t xml:space="preserve">月の</t>
    </r>
    <r>
      <rPr>
        <sz val="9"/>
        <color rgb="FF000000"/>
        <rFont val="Meiryo"/>
        <family val="0"/>
        <charset val="1"/>
      </rPr>
      <t xml:space="preserve">3</t>
    </r>
    <r>
      <rPr>
        <sz val="9"/>
        <color rgb="FF000000"/>
        <rFont val="WenQuanYi Zen Hei"/>
        <family val="2"/>
      </rPr>
      <t xml:space="preserve">ヶ月</t>
    </r>
  </si>
  <si>
    <t xml:space="preserve">月額換算（概算）</t>
  </si>
  <si>
    <r>
      <rPr>
        <sz val="9"/>
        <color rgb="FF000000"/>
        <rFont val="WenQuanYi Zen Hei"/>
        <family val="2"/>
      </rPr>
      <t xml:space="preserve">約</t>
    </r>
    <r>
      <rPr>
        <sz val="9"/>
        <color rgb="FF000000"/>
        <rFont val="Meiryo"/>
        <family val="0"/>
        <charset val="1"/>
      </rPr>
      <t xml:space="preserve">800</t>
    </r>
    <r>
      <rPr>
        <sz val="9"/>
        <color rgb="FF000000"/>
        <rFont val="WenQuanYi Zen Hei"/>
        <family val="2"/>
      </rPr>
      <t xml:space="preserve">万円</t>
    </r>
    <r>
      <rPr>
        <sz val="9"/>
        <color rgb="FF000000"/>
        <rFont val="Meiryo"/>
        <family val="0"/>
        <charset val="1"/>
      </rPr>
      <t xml:space="preserve">/</t>
    </r>
    <r>
      <rPr>
        <sz val="9"/>
        <color rgb="FF000000"/>
        <rFont val="WenQuanYi Zen Hei"/>
        <family val="2"/>
      </rPr>
      <t xml:space="preserve">月</t>
    </r>
  </si>
  <si>
    <r>
      <rPr>
        <sz val="9"/>
        <color rgb="FF000000"/>
        <rFont val="WenQuanYi Zen Hei"/>
        <family val="2"/>
      </rPr>
      <t xml:space="preserve">案①約</t>
    </r>
    <r>
      <rPr>
        <sz val="9"/>
        <color rgb="FF000000"/>
        <rFont val="Meiryo"/>
        <family val="0"/>
        <charset val="1"/>
      </rPr>
      <t xml:space="preserve">930</t>
    </r>
    <r>
      <rPr>
        <sz val="9"/>
        <color rgb="FF000000"/>
        <rFont val="WenQuanYi Zen Hei"/>
        <family val="2"/>
      </rPr>
      <t xml:space="preserve">万円</t>
    </r>
    <r>
      <rPr>
        <sz val="9"/>
        <color rgb="FF000000"/>
        <rFont val="Meiryo"/>
        <family val="0"/>
        <charset val="1"/>
      </rPr>
      <t xml:space="preserve">/</t>
    </r>
    <r>
      <rPr>
        <sz val="9"/>
        <color rgb="FF000000"/>
        <rFont val="WenQuanYi Zen Hei"/>
        <family val="2"/>
      </rPr>
      <t xml:space="preserve">月
案②約</t>
    </r>
    <r>
      <rPr>
        <sz val="9"/>
        <color rgb="FF000000"/>
        <rFont val="Meiryo"/>
        <family val="0"/>
        <charset val="1"/>
      </rPr>
      <t xml:space="preserve">750</t>
    </r>
    <r>
      <rPr>
        <sz val="9"/>
        <color rgb="FF000000"/>
        <rFont val="WenQuanYi Zen Hei"/>
        <family val="2"/>
      </rPr>
      <t xml:space="preserve">万円</t>
    </r>
    <r>
      <rPr>
        <sz val="9"/>
        <color rgb="FF000000"/>
        <rFont val="Meiryo"/>
        <family val="0"/>
        <charset val="1"/>
      </rPr>
      <t xml:space="preserve">/</t>
    </r>
    <r>
      <rPr>
        <sz val="9"/>
        <color rgb="FF000000"/>
        <rFont val="WenQuanYi Zen Hei"/>
        <family val="2"/>
      </rPr>
      <t xml:space="preserve">月</t>
    </r>
  </si>
  <si>
    <r>
      <rPr>
        <sz val="9"/>
        <color rgb="FF000000"/>
        <rFont val="WenQuanYi Zen Hei"/>
        <family val="2"/>
      </rPr>
      <t xml:space="preserve">約</t>
    </r>
    <r>
      <rPr>
        <sz val="9"/>
        <color rgb="FF000000"/>
        <rFont val="Meiryo"/>
        <family val="0"/>
        <charset val="1"/>
      </rPr>
      <t xml:space="preserve">1,560</t>
    </r>
    <r>
      <rPr>
        <sz val="9"/>
        <color rgb="FF000000"/>
        <rFont val="WenQuanYi Zen Hei"/>
        <family val="2"/>
      </rPr>
      <t xml:space="preserve">万円</t>
    </r>
    <r>
      <rPr>
        <sz val="9"/>
        <color rgb="FF000000"/>
        <rFont val="Meiryo"/>
        <family val="0"/>
        <charset val="1"/>
      </rPr>
      <t xml:space="preserve">/</t>
    </r>
    <r>
      <rPr>
        <sz val="9"/>
        <color rgb="FF000000"/>
        <rFont val="WenQuanYi Zen Hei"/>
        <family val="2"/>
      </rPr>
      <t xml:space="preserve">月</t>
    </r>
  </si>
  <si>
    <t xml:space="preserve">期間差を除いた粗い比較。体制規模の差を含む</t>
  </si>
  <si>
    <r>
      <rPr>
        <b val="true"/>
        <sz val="9"/>
        <color rgb="FF000000"/>
        <rFont val="Meiryo"/>
        <family val="0"/>
        <charset val="1"/>
      </rPr>
      <t xml:space="preserve">RFP</t>
    </r>
    <r>
      <rPr>
        <b val="true"/>
        <sz val="9"/>
        <color rgb="FF000000"/>
        <rFont val="WenQuanYi Zen Hei"/>
        <family val="2"/>
      </rPr>
      <t xml:space="preserve">完成・発行時期</t>
    </r>
  </si>
  <si>
    <r>
      <rPr>
        <sz val="9"/>
        <color rgb="FF000000"/>
        <rFont val="Meiryo"/>
        <family val="0"/>
        <charset val="1"/>
      </rPr>
      <t xml:space="preserve">11</t>
    </r>
    <r>
      <rPr>
        <sz val="9"/>
        <color rgb="FF000000"/>
        <rFont val="WenQuanYi Zen Hei"/>
        <family val="2"/>
      </rPr>
      <t xml:space="preserve">月末に作成完了・貴社承認済み（発出は後続）</t>
    </r>
  </si>
  <si>
    <r>
      <rPr>
        <sz val="9"/>
        <color rgb="FF000000"/>
        <rFont val="Meiryo"/>
        <family val="0"/>
        <charset val="1"/>
      </rPr>
      <t xml:space="preserve">RFP</t>
    </r>
    <r>
      <rPr>
        <sz val="9"/>
        <color rgb="FF000000"/>
        <rFont val="WenQuanYi Zen Hei"/>
        <family val="2"/>
      </rPr>
      <t xml:space="preserve">発出 </t>
    </r>
    <r>
      <rPr>
        <sz val="9"/>
        <color rgb="FF000000"/>
        <rFont val="Meiryo"/>
        <family val="0"/>
        <charset val="1"/>
      </rPr>
      <t xml:space="preserve">12</t>
    </r>
    <r>
      <rPr>
        <sz val="9"/>
        <color rgb="FF000000"/>
        <rFont val="WenQuanYi Zen Hei"/>
        <family val="2"/>
      </rPr>
      <t xml:space="preserve">月末（仮）</t>
    </r>
  </si>
  <si>
    <r>
      <rPr>
        <sz val="9"/>
        <color rgb="FF000000"/>
        <rFont val="Meiryo"/>
        <family val="0"/>
        <charset val="1"/>
      </rPr>
      <t xml:space="preserve">RFP</t>
    </r>
    <r>
      <rPr>
        <sz val="9"/>
        <color rgb="FF000000"/>
        <rFont val="WenQuanYi Zen Hei"/>
        <family val="2"/>
      </rPr>
      <t xml:space="preserve">発行 年内（</t>
    </r>
    <r>
      <rPr>
        <sz val="9"/>
        <color rgb="FF000000"/>
        <rFont val="Meiryo"/>
        <family val="0"/>
        <charset val="1"/>
      </rPr>
      <t xml:space="preserve">12</t>
    </r>
    <r>
      <rPr>
        <sz val="9"/>
        <color rgb="FF000000"/>
        <rFont val="WenQuanYi Zen Hei"/>
        <family val="2"/>
      </rPr>
      <t xml:space="preserve">月）</t>
    </r>
  </si>
  <si>
    <r>
      <rPr>
        <sz val="9"/>
        <color rgb="FF000000"/>
        <rFont val="Meiryo"/>
        <family val="0"/>
        <charset val="1"/>
      </rPr>
      <t xml:space="preserve">11</t>
    </r>
    <r>
      <rPr>
        <sz val="9"/>
        <color rgb="FF000000"/>
        <rFont val="WenQuanYi Zen Hei"/>
        <family val="2"/>
      </rPr>
      <t xml:space="preserve">月末要求を満たすのは</t>
    </r>
    <r>
      <rPr>
        <sz val="9"/>
        <color rgb="FF000000"/>
        <rFont val="Meiryo"/>
        <family val="0"/>
        <charset val="1"/>
      </rPr>
      <t xml:space="preserve">A</t>
    </r>
    <r>
      <rPr>
        <sz val="9"/>
        <color rgb="FF000000"/>
        <rFont val="WenQuanYi Zen Hei"/>
        <family val="2"/>
      </rPr>
      <t xml:space="preserve">社のみ</t>
    </r>
  </si>
  <si>
    <t xml:space="preserve">ベンダー評価・選定</t>
  </si>
  <si>
    <t xml:space="preserve">含まない（後続フェーズ）</t>
  </si>
  <si>
    <t xml:space="preserve">含まない</t>
  </si>
  <si>
    <r>
      <rPr>
        <sz val="9"/>
        <color rgb="FF000000"/>
        <rFont val="WenQuanYi Zen Hei"/>
        <family val="2"/>
      </rPr>
      <t xml:space="preserve">含む（</t>
    </r>
    <r>
      <rPr>
        <sz val="9"/>
        <color rgb="FF000000"/>
        <rFont val="Meiryo"/>
        <family val="0"/>
        <charset val="1"/>
      </rPr>
      <t xml:space="preserve">2027</t>
    </r>
    <r>
      <rPr>
        <sz val="9"/>
        <color rgb="FF000000"/>
        <rFont val="WenQuanYi Zen Hei"/>
        <family val="2"/>
      </rPr>
      <t xml:space="preserve">年</t>
    </r>
    <r>
      <rPr>
        <sz val="9"/>
        <color rgb="FF000000"/>
        <rFont val="Meiryo"/>
        <family val="0"/>
        <charset val="1"/>
      </rPr>
      <t xml:space="preserve">1</t>
    </r>
    <r>
      <rPr>
        <sz val="9"/>
        <color rgb="FF000000"/>
        <rFont val="WenQuanYi Zen Hei"/>
        <family val="2"/>
      </rPr>
      <t xml:space="preserve">月末まで）</t>
    </r>
  </si>
  <si>
    <r>
      <rPr>
        <sz val="9"/>
        <color rgb="FF000000"/>
        <rFont val="Meiryo"/>
        <family val="0"/>
        <charset val="1"/>
      </rPr>
      <t xml:space="preserve">C</t>
    </r>
    <r>
      <rPr>
        <sz val="9"/>
        <color rgb="FF000000"/>
        <rFont val="WenQuanYi Zen Hei"/>
        <family val="2"/>
      </rPr>
      <t xml:space="preserve">社の金額を押し上げる主要因①</t>
    </r>
  </si>
  <si>
    <t xml:space="preserve">非システム課題の整理・ロードマップ（ガバナンス・内部統制・サステナマネジメント）</t>
  </si>
  <si>
    <t xml:space="preserve">含む</t>
  </si>
  <si>
    <r>
      <rPr>
        <sz val="9"/>
        <color rgb="FF000000"/>
        <rFont val="Meiryo"/>
        <family val="0"/>
        <charset val="1"/>
      </rPr>
      <t xml:space="preserve">C</t>
    </r>
    <r>
      <rPr>
        <sz val="9"/>
        <color rgb="FF000000"/>
        <rFont val="WenQuanYi Zen Hei"/>
        <family val="2"/>
      </rPr>
      <t xml:space="preserve">社の金額を押し上げる主要因②</t>
    </r>
  </si>
  <si>
    <r>
      <rPr>
        <b val="true"/>
        <sz val="9"/>
        <color rgb="FF000000"/>
        <rFont val="WenQuanYi Zen Hei"/>
        <family val="2"/>
      </rPr>
      <t xml:space="preserve">効果試算・</t>
    </r>
    <r>
      <rPr>
        <b val="true"/>
        <sz val="9"/>
        <color rgb="FF000000"/>
        <rFont val="Meiryo"/>
        <family val="0"/>
        <charset val="1"/>
      </rPr>
      <t xml:space="preserve">ROI</t>
    </r>
    <r>
      <rPr>
        <b val="true"/>
        <sz val="9"/>
        <color rgb="FF000000"/>
        <rFont val="WenQuanYi Zen Hei"/>
        <family val="2"/>
      </rPr>
      <t xml:space="preserve">・経営上申支援</t>
    </r>
  </si>
  <si>
    <r>
      <rPr>
        <sz val="9"/>
        <color rgb="FF000000"/>
        <rFont val="WenQuanYi Zen Hei"/>
        <family val="2"/>
      </rPr>
      <t xml:space="preserve">含まない（</t>
    </r>
    <r>
      <rPr>
        <sz val="9"/>
        <color rgb="FF000000"/>
        <rFont val="Meiryo"/>
        <family val="0"/>
        <charset val="1"/>
      </rPr>
      <t xml:space="preserve">Appendix</t>
    </r>
    <r>
      <rPr>
        <sz val="9"/>
        <color rgb="FF000000"/>
        <rFont val="WenQuanYi Zen Hei"/>
        <family val="2"/>
      </rPr>
      <t xml:space="preserve">に方法論提示のみ）</t>
    </r>
  </si>
  <si>
    <r>
      <rPr>
        <sz val="9"/>
        <color rgb="FF000000"/>
        <rFont val="WenQuanYi Zen Hei"/>
        <family val="2"/>
      </rPr>
      <t xml:space="preserve">含む（</t>
    </r>
    <r>
      <rPr>
        <sz val="9"/>
        <color rgb="FF000000"/>
        <rFont val="Meiryo"/>
        <family val="0"/>
        <charset val="1"/>
      </rPr>
      <t xml:space="preserve">As-Is</t>
    </r>
    <r>
      <rPr>
        <sz val="9"/>
        <color rgb="FF000000"/>
        <rFont val="WenQuanYi Zen Hei"/>
        <family val="2"/>
      </rPr>
      <t xml:space="preserve">実測ベースの</t>
    </r>
    <r>
      <rPr>
        <sz val="9"/>
        <color rgb="FF000000"/>
        <rFont val="Meiryo"/>
        <family val="0"/>
        <charset val="1"/>
      </rPr>
      <t xml:space="preserve">ROI</t>
    </r>
    <r>
      <rPr>
        <sz val="9"/>
        <color rgb="FF000000"/>
        <rFont val="WenQuanYi Zen Hei"/>
        <family val="2"/>
      </rPr>
      <t xml:space="preserve">精緻化・上申資料）</t>
    </r>
  </si>
  <si>
    <r>
      <rPr>
        <sz val="9"/>
        <color rgb="FF000000"/>
        <rFont val="Meiryo"/>
        <family val="0"/>
        <charset val="1"/>
      </rPr>
      <t xml:space="preserve">C</t>
    </r>
    <r>
      <rPr>
        <sz val="9"/>
        <color rgb="FF000000"/>
        <rFont val="WenQuanYi Zen Hei"/>
        <family val="2"/>
      </rPr>
      <t xml:space="preserve">社の金額を押し上げる主要因③</t>
    </r>
  </si>
  <si>
    <r>
      <rPr>
        <b val="true"/>
        <sz val="9"/>
        <color rgb="FF000000"/>
        <rFont val="WenQuanYi Zen Hei"/>
        <family val="2"/>
      </rPr>
      <t xml:space="preserve">展開計画・定着計画・</t>
    </r>
    <r>
      <rPr>
        <b val="true"/>
        <sz val="9"/>
        <color rgb="FF000000"/>
        <rFont val="Meiryo"/>
        <family val="0"/>
        <charset val="1"/>
      </rPr>
      <t xml:space="preserve">PJ</t>
    </r>
    <r>
      <rPr>
        <b val="true"/>
        <sz val="9"/>
        <color rgb="FF000000"/>
        <rFont val="WenQuanYi Zen Hei"/>
        <family val="2"/>
      </rPr>
      <t xml:space="preserve">計画書</t>
    </r>
  </si>
  <si>
    <t xml:space="preserve">案①②は含む（案③は含まない）</t>
  </si>
  <si>
    <t xml:space="preserve">一部含む（システム化方針書）</t>
  </si>
  <si>
    <r>
      <rPr>
        <sz val="9"/>
        <color rgb="FF000000"/>
        <rFont val="Meiryo"/>
        <family val="0"/>
        <charset val="1"/>
      </rPr>
      <t xml:space="preserve">B</t>
    </r>
    <r>
      <rPr>
        <sz val="9"/>
        <color rgb="FF000000"/>
        <rFont val="WenQuanYi Zen Hei"/>
        <family val="2"/>
      </rPr>
      <t xml:space="preserve">社の案①②③の価格差の主要因</t>
    </r>
  </si>
  <si>
    <t xml:space="preserve">アーキテクチャ検討</t>
  </si>
  <si>
    <t xml:space="preserve">非機能要件の一部として整理</t>
  </si>
  <si>
    <t xml:space="preserve">案①②は素案作成を含む</t>
  </si>
  <si>
    <t xml:space="preserve">システム構成案策定を含む</t>
  </si>
  <si>
    <t xml:space="preserve">攻め（経営活用）の要件化</t>
  </si>
  <si>
    <t xml:space="preserve">初期仮説の提示まで</t>
  </si>
  <si>
    <r>
      <rPr>
        <sz val="9"/>
        <color rgb="FF000000"/>
        <rFont val="Meiryo"/>
        <family val="0"/>
        <charset val="1"/>
      </rPr>
      <t xml:space="preserve">Step2</t>
    </r>
    <r>
      <rPr>
        <sz val="9"/>
        <color rgb="FF000000"/>
        <rFont val="WenQuanYi Zen Hei"/>
        <family val="2"/>
      </rPr>
      <t xml:space="preserve">以降に後ろ倒し</t>
    </r>
  </si>
  <si>
    <r>
      <rPr>
        <sz val="9"/>
        <color rgb="FF000000"/>
        <rFont val="WenQuanYi Zen Hei"/>
        <family val="2"/>
      </rPr>
      <t xml:space="preserve">ユースケース</t>
    </r>
    <r>
      <rPr>
        <sz val="9"/>
        <color rgb="FF000000"/>
        <rFont val="Meiryo"/>
        <family val="0"/>
        <charset val="1"/>
      </rPr>
      <t xml:space="preserve">2</t>
    </r>
    <r>
      <rPr>
        <sz val="9"/>
        <color rgb="FF000000"/>
        <rFont val="WenQuanYi Zen Hei"/>
        <family val="2"/>
      </rPr>
      <t xml:space="preserve">〜</t>
    </r>
    <r>
      <rPr>
        <sz val="9"/>
        <color rgb="FF000000"/>
        <rFont val="Meiryo"/>
        <family val="0"/>
        <charset val="1"/>
      </rPr>
      <t xml:space="preserve">3</t>
    </r>
    <r>
      <rPr>
        <sz val="9"/>
        <color rgb="FF000000"/>
        <rFont val="WenQuanYi Zen Hei"/>
        <family val="2"/>
      </rPr>
      <t xml:space="preserve">件の絞り込み・基盤要件化まで含む</t>
    </r>
  </si>
  <si>
    <t xml:space="preserve">スコープの深さの差</t>
  </si>
  <si>
    <t xml:space="preserve">実働体制</t>
  </si>
  <si>
    <r>
      <rPr>
        <sz val="9"/>
        <color rgb="FF000000"/>
        <rFont val="WenQuanYi Zen Hei"/>
        <family val="2"/>
      </rPr>
      <t xml:space="preserve">フルタイム</t>
    </r>
    <r>
      <rPr>
        <sz val="9"/>
        <color rgb="FF000000"/>
        <rFont val="Meiryo"/>
        <family val="0"/>
        <charset val="1"/>
      </rPr>
      <t xml:space="preserve">2</t>
    </r>
    <r>
      <rPr>
        <sz val="9"/>
        <color rgb="FF000000"/>
        <rFont val="WenQuanYi Zen Hei"/>
        <family val="2"/>
      </rPr>
      <t xml:space="preserve">名＋パートタイム</t>
    </r>
    <r>
      <rPr>
        <sz val="9"/>
        <color rgb="FF000000"/>
        <rFont val="Meiryo"/>
        <family val="0"/>
        <charset val="1"/>
      </rPr>
      <t xml:space="preserve">2</t>
    </r>
    <r>
      <rPr>
        <sz val="9"/>
        <color rgb="FF000000"/>
        <rFont val="WenQuanYi Zen Hei"/>
        <family val="2"/>
      </rPr>
      <t xml:space="preserve">名＋</t>
    </r>
    <r>
      <rPr>
        <sz val="9"/>
        <color rgb="FF000000"/>
        <rFont val="Meiryo"/>
        <family val="0"/>
        <charset val="1"/>
      </rPr>
      <t xml:space="preserve">SME</t>
    </r>
    <r>
      <rPr>
        <sz val="9"/>
        <color rgb="FF000000"/>
        <rFont val="WenQuanYi Zen Hei"/>
        <family val="2"/>
      </rPr>
      <t xml:space="preserve">適宜
（主要</t>
    </r>
    <r>
      <rPr>
        <sz val="9"/>
        <color rgb="FF000000"/>
        <rFont val="Meiryo"/>
        <family val="0"/>
        <charset val="1"/>
      </rPr>
      <t xml:space="preserve">2</t>
    </r>
    <r>
      <rPr>
        <sz val="9"/>
        <color rgb="FF000000"/>
        <rFont val="WenQuanYi Zen Hei"/>
        <family val="2"/>
      </rPr>
      <t xml:space="preserve">ポジションが「</t>
    </r>
    <r>
      <rPr>
        <sz val="9"/>
        <color rgb="FF000000"/>
        <rFont val="Meiryo"/>
        <family val="0"/>
        <charset val="1"/>
      </rPr>
      <t xml:space="preserve">or</t>
    </r>
    <r>
      <rPr>
        <sz val="9"/>
        <color rgb="FF000000"/>
        <rFont val="WenQuanYi Zen Hei"/>
        <family val="2"/>
      </rPr>
      <t xml:space="preserve">」表記）</t>
    </r>
  </si>
  <si>
    <r>
      <rPr>
        <sz val="9"/>
        <color rgb="FF000000"/>
        <rFont val="Meiryo"/>
        <family val="0"/>
        <charset val="1"/>
      </rPr>
      <t xml:space="preserve">SA/A 3</t>
    </r>
    <r>
      <rPr>
        <sz val="9"/>
        <color rgb="FF000000"/>
        <rFont val="WenQuanYi Zen Hei"/>
        <family val="2"/>
      </rPr>
      <t xml:space="preserve">名（</t>
    </r>
    <r>
      <rPr>
        <sz val="9"/>
        <color rgb="FF000000"/>
        <rFont val="Meiryo"/>
        <family val="0"/>
        <charset val="1"/>
      </rPr>
      <t xml:space="preserve">100%</t>
    </r>
    <r>
      <rPr>
        <sz val="9"/>
        <color rgb="FF000000"/>
        <rFont val="WenQuanYi Zen Hei"/>
        <family val="2"/>
      </rPr>
      <t xml:space="preserve">）＋</t>
    </r>
    <r>
      <rPr>
        <sz val="9"/>
        <color rgb="FF000000"/>
        <rFont val="Meiryo"/>
        <family val="0"/>
        <charset val="1"/>
      </rPr>
      <t xml:space="preserve">SM20%</t>
    </r>
    <r>
      <rPr>
        <sz val="9"/>
        <color rgb="FF000000"/>
        <rFont val="WenQuanYi Zen Hei"/>
        <family val="2"/>
      </rPr>
      <t xml:space="preserve">＋</t>
    </r>
    <r>
      <rPr>
        <sz val="9"/>
        <color rgb="FF000000"/>
        <rFont val="Meiryo"/>
        <family val="0"/>
        <charset val="1"/>
      </rPr>
      <t xml:space="preserve">P5%
</t>
    </r>
    <r>
      <rPr>
        <sz val="9"/>
        <color rgb="FF000000"/>
        <rFont val="WenQuanYi Zen Hei"/>
        <family val="2"/>
      </rPr>
      <t xml:space="preserve">（実働</t>
    </r>
    <r>
      <rPr>
        <sz val="9"/>
        <color rgb="FF000000"/>
        <rFont val="Meiryo"/>
        <family val="0"/>
        <charset val="1"/>
      </rPr>
      <t xml:space="preserve">3</t>
    </r>
    <r>
      <rPr>
        <sz val="9"/>
        <color rgb="FF000000"/>
        <rFont val="WenQuanYi Zen Hei"/>
        <family val="2"/>
      </rPr>
      <t xml:space="preserve">名は</t>
    </r>
    <r>
      <rPr>
        <sz val="9"/>
        <color rgb="FF000000"/>
        <rFont val="Meiryo"/>
        <family val="0"/>
        <charset val="1"/>
      </rPr>
      <t xml:space="preserve">TBD</t>
    </r>
    <r>
      <rPr>
        <sz val="9"/>
        <color rgb="FF000000"/>
        <rFont val="WenQuanYi Zen Hei"/>
        <family val="2"/>
      </rPr>
      <t xml:space="preserve">）</t>
    </r>
  </si>
  <si>
    <r>
      <rPr>
        <sz val="9"/>
        <color rgb="FF000000"/>
        <rFont val="Meiryo"/>
        <family val="0"/>
        <charset val="1"/>
      </rPr>
      <t xml:space="preserve">M</t>
    </r>
    <r>
      <rPr>
        <sz val="9"/>
        <color rgb="FF000000"/>
        <rFont val="WenQuanYi Zen Hei"/>
        <family val="2"/>
      </rPr>
      <t xml:space="preserve">＋</t>
    </r>
    <r>
      <rPr>
        <sz val="9"/>
        <color rgb="FF000000"/>
        <rFont val="Meiryo"/>
        <family val="0"/>
        <charset val="1"/>
      </rPr>
      <t xml:space="preserve">SC</t>
    </r>
    <r>
      <rPr>
        <sz val="9"/>
        <color rgb="FF000000"/>
        <rFont val="WenQuanYi Zen Hei"/>
        <family val="2"/>
      </rPr>
      <t xml:space="preserve">＋コンサル</t>
    </r>
    <r>
      <rPr>
        <sz val="9"/>
        <color rgb="FF000000"/>
        <rFont val="Meiryo"/>
        <family val="0"/>
        <charset val="1"/>
      </rPr>
      <t xml:space="preserve">3</t>
    </r>
    <r>
      <rPr>
        <sz val="9"/>
        <color rgb="FF000000"/>
        <rFont val="WenQuanYi Zen Hei"/>
        <family val="2"/>
      </rPr>
      <t xml:space="preserve">名＋アドバイザー</t>
    </r>
    <r>
      <rPr>
        <sz val="9"/>
        <color rgb="FF000000"/>
        <rFont val="Meiryo"/>
        <family val="0"/>
        <charset val="1"/>
      </rPr>
      <t xml:space="preserve">4</t>
    </r>
    <r>
      <rPr>
        <sz val="9"/>
        <color rgb="FF000000"/>
        <rFont val="WenQuanYi Zen Hei"/>
        <family val="2"/>
      </rPr>
      <t xml:space="preserve">名（</t>
    </r>
    <r>
      <rPr>
        <sz val="9"/>
        <color rgb="FF000000"/>
        <rFont val="Meiryo"/>
        <family val="0"/>
        <charset val="1"/>
      </rPr>
      <t xml:space="preserve">P/D/SM</t>
    </r>
    <r>
      <rPr>
        <sz val="9"/>
        <color rgb="FF000000"/>
        <rFont val="WenQuanYi Zen Hei"/>
        <family val="2"/>
      </rPr>
      <t xml:space="preserve">級、公認会計士含む）</t>
    </r>
  </si>
  <si>
    <r>
      <rPr>
        <sz val="9"/>
        <color rgb="FF000000"/>
        <rFont val="Meiryo"/>
        <family val="0"/>
        <charset val="1"/>
      </rPr>
      <t xml:space="preserve">C</t>
    </r>
    <r>
      <rPr>
        <sz val="9"/>
        <color rgb="FF000000"/>
        <rFont val="WenQuanYi Zen Hei"/>
        <family val="2"/>
      </rPr>
      <t xml:space="preserve">社は管理・専門層が厚い＝金額を押し上げる主要因④</t>
    </r>
  </si>
  <si>
    <t xml:space="preserve">ファームの単価水準</t>
  </si>
  <si>
    <t xml:space="preserve">中堅独立系（相対的に低単価）</t>
  </si>
  <si>
    <r>
      <rPr>
        <sz val="9"/>
        <color rgb="FF000000"/>
        <rFont val="Meiryo"/>
        <family val="0"/>
        <charset val="1"/>
      </rPr>
      <t xml:space="preserve">Big4</t>
    </r>
    <r>
      <rPr>
        <sz val="9"/>
        <color rgb="FF000000"/>
        <rFont val="WenQuanYi Zen Hei"/>
        <family val="2"/>
      </rPr>
      <t xml:space="preserve">（高単価だが実働はジュニア層）</t>
    </r>
  </si>
  <si>
    <t xml:space="preserve">大手総合（高単価、シニア層厚め）</t>
  </si>
  <si>
    <r>
      <rPr>
        <sz val="9"/>
        <color rgb="FF000000"/>
        <rFont val="WenQuanYi Zen Hei"/>
        <family val="2"/>
      </rPr>
      <t xml:space="preserve">同ランクでも月単価に</t>
    </r>
    <r>
      <rPr>
        <sz val="9"/>
        <color rgb="FF000000"/>
        <rFont val="Meiryo"/>
        <family val="0"/>
        <charset val="1"/>
      </rPr>
      <t xml:space="preserve">1.5</t>
    </r>
    <r>
      <rPr>
        <sz val="9"/>
        <color rgb="FF000000"/>
        <rFont val="WenQuanYi Zen Hei"/>
        <family val="2"/>
      </rPr>
      <t xml:space="preserve">〜</t>
    </r>
    <r>
      <rPr>
        <sz val="9"/>
        <color rgb="FF000000"/>
        <rFont val="Meiryo"/>
        <family val="0"/>
        <charset val="1"/>
      </rPr>
      <t xml:space="preserve">2</t>
    </r>
    <r>
      <rPr>
        <sz val="9"/>
        <color rgb="FF000000"/>
        <rFont val="WenQuanYi Zen Hei"/>
        <family val="2"/>
      </rPr>
      <t xml:space="preserve">倍の開きが生じ得る</t>
    </r>
  </si>
  <si>
    <t xml:space="preserve">値引き</t>
  </si>
  <si>
    <r>
      <rPr>
        <sz val="9"/>
        <color rgb="FF000000"/>
        <rFont val="Meiryo"/>
        <family val="0"/>
        <charset val="1"/>
      </rPr>
      <t xml:space="preserve">▲1,120</t>
    </r>
    <r>
      <rPr>
        <sz val="9"/>
        <color rgb="FF000000"/>
        <rFont val="WenQuanYi Zen Hei"/>
        <family val="2"/>
      </rPr>
      <t xml:space="preserve">万円（</t>
    </r>
    <r>
      <rPr>
        <sz val="9"/>
        <color rgb="FF000000"/>
        <rFont val="Meiryo"/>
        <family val="0"/>
        <charset val="1"/>
      </rPr>
      <t xml:space="preserve">32%</t>
    </r>
    <r>
      <rPr>
        <sz val="9"/>
        <color rgb="FF000000"/>
        <rFont val="WenQuanYi Zen Hei"/>
        <family val="2"/>
      </rPr>
      <t xml:space="preserve">：初回値引＋出精値引）</t>
    </r>
  </si>
  <si>
    <t xml:space="preserve">なし</t>
  </si>
  <si>
    <r>
      <rPr>
        <sz val="9"/>
        <color rgb="FF000000"/>
        <rFont val="Meiryo"/>
        <family val="0"/>
        <charset val="1"/>
      </rPr>
      <t xml:space="preserve">A</t>
    </r>
    <r>
      <rPr>
        <sz val="9"/>
        <color rgb="FF000000"/>
        <rFont val="WenQuanYi Zen Hei"/>
        <family val="2"/>
      </rPr>
      <t xml:space="preserve">社の安さの一部は戦略価格。次フェーズ単価の確認が必要</t>
    </r>
  </si>
  <si>
    <t xml:space="preserve">【金額差の構造（要約）】</t>
  </si>
  <si>
    <r>
      <rPr>
        <sz val="9"/>
        <color rgb="FF000000"/>
        <rFont val="WenQuanYi Zen Hei"/>
        <family val="2"/>
      </rPr>
      <t xml:space="preserve">金額差＝①期間の差（</t>
    </r>
    <r>
      <rPr>
        <sz val="9"/>
        <color rgb="FF000000"/>
        <rFont val="Meiryo"/>
        <family val="0"/>
        <charset val="1"/>
      </rPr>
      <t xml:space="preserve">3.0</t>
    </r>
    <r>
      <rPr>
        <sz val="9"/>
        <color rgb="FF000000"/>
        <rFont val="WenQuanYi Zen Hei"/>
        <family val="2"/>
      </rPr>
      <t xml:space="preserve">〜</t>
    </r>
    <r>
      <rPr>
        <sz val="9"/>
        <color rgb="FF000000"/>
        <rFont val="Meiryo"/>
        <family val="0"/>
        <charset val="1"/>
      </rPr>
      <t xml:space="preserve">5.0</t>
    </r>
    <r>
      <rPr>
        <sz val="9"/>
        <color rgb="FF000000"/>
        <rFont val="WenQuanYi Zen Hei"/>
        <family val="2"/>
      </rPr>
      <t xml:space="preserve">ヶ月：最大</t>
    </r>
    <r>
      <rPr>
        <sz val="9"/>
        <color rgb="FF000000"/>
        <rFont val="Meiryo"/>
        <family val="0"/>
        <charset val="1"/>
      </rPr>
      <t xml:space="preserve">1.67</t>
    </r>
    <r>
      <rPr>
        <sz val="9"/>
        <color rgb="FF000000"/>
        <rFont val="WenQuanYi Zen Hei"/>
        <family val="2"/>
      </rPr>
      <t xml:space="preserve">倍）</t>
    </r>
    <r>
      <rPr>
        <sz val="9"/>
        <color rgb="FF000000"/>
        <rFont val="Meiryo"/>
        <family val="0"/>
        <charset val="1"/>
      </rPr>
      <t xml:space="preserve">×②</t>
    </r>
    <r>
      <rPr>
        <sz val="9"/>
        <color rgb="FF000000"/>
        <rFont val="WenQuanYi Zen Hei"/>
        <family val="2"/>
      </rPr>
      <t xml:space="preserve">スコープの差（</t>
    </r>
    <r>
      <rPr>
        <sz val="9"/>
        <color rgb="FF000000"/>
        <rFont val="Meiryo"/>
        <family val="0"/>
        <charset val="1"/>
      </rPr>
      <t xml:space="preserve">C</t>
    </r>
    <r>
      <rPr>
        <sz val="9"/>
        <color rgb="FF000000"/>
        <rFont val="WenQuanYi Zen Hei"/>
        <family val="2"/>
      </rPr>
      <t xml:space="preserve">社のみベンダー評価・非システム課題・効果試算を含む／</t>
    </r>
    <r>
      <rPr>
        <sz val="9"/>
        <color rgb="FF000000"/>
        <rFont val="Meiryo"/>
        <family val="0"/>
        <charset val="1"/>
      </rPr>
      <t xml:space="preserve">B</t>
    </r>
    <r>
      <rPr>
        <sz val="9"/>
        <color rgb="FF000000"/>
        <rFont val="WenQuanYi Zen Hei"/>
        <family val="2"/>
      </rPr>
      <t xml:space="preserve">社は案により展開計画等が増減）</t>
    </r>
    <r>
      <rPr>
        <sz val="9"/>
        <color rgb="FF000000"/>
        <rFont val="Meiryo"/>
        <family val="0"/>
        <charset val="1"/>
      </rPr>
      <t xml:space="preserve">×③</t>
    </r>
    <r>
      <rPr>
        <sz val="9"/>
        <color rgb="FF000000"/>
        <rFont val="WenQuanYi Zen Hei"/>
        <family val="2"/>
      </rPr>
      <t xml:space="preserve">体制の厚み（</t>
    </r>
    <r>
      <rPr>
        <sz val="9"/>
        <color rgb="FF000000"/>
        <rFont val="Meiryo"/>
        <family val="0"/>
        <charset val="1"/>
      </rPr>
      <t xml:space="preserve">C</t>
    </r>
    <r>
      <rPr>
        <sz val="9"/>
        <color rgb="FF000000"/>
        <rFont val="WenQuanYi Zen Hei"/>
        <family val="2"/>
      </rPr>
      <t xml:space="preserve">社はシニア・専門家層が厚い、</t>
    </r>
    <r>
      <rPr>
        <sz val="9"/>
        <color rgb="FF000000"/>
        <rFont val="Meiryo"/>
        <family val="0"/>
        <charset val="1"/>
      </rPr>
      <t xml:space="preserve">B</t>
    </r>
    <r>
      <rPr>
        <sz val="9"/>
        <color rgb="FF000000"/>
        <rFont val="WenQuanYi Zen Hei"/>
        <family val="2"/>
      </rPr>
      <t xml:space="preserve">社は実働がジュニア</t>
    </r>
    <r>
      <rPr>
        <sz val="9"/>
        <color rgb="FF000000"/>
        <rFont val="Meiryo"/>
        <family val="0"/>
        <charset val="1"/>
      </rPr>
      <t xml:space="preserve">3</t>
    </r>
    <r>
      <rPr>
        <sz val="9"/>
        <color rgb="FF000000"/>
        <rFont val="WenQuanYi Zen Hei"/>
        <family val="2"/>
      </rPr>
      <t xml:space="preserve">名）</t>
    </r>
    <r>
      <rPr>
        <sz val="9"/>
        <color rgb="FF000000"/>
        <rFont val="Meiryo"/>
        <family val="0"/>
        <charset val="1"/>
      </rPr>
      <t xml:space="preserve">×④</t>
    </r>
    <r>
      <rPr>
        <sz val="9"/>
        <color rgb="FF000000"/>
        <rFont val="WenQuanYi Zen Hei"/>
        <family val="2"/>
      </rPr>
      <t xml:space="preserve">ファーム単価水準（</t>
    </r>
    <r>
      <rPr>
        <sz val="9"/>
        <color rgb="FF000000"/>
        <rFont val="Meiryo"/>
        <family val="0"/>
        <charset val="1"/>
      </rPr>
      <t xml:space="preserve">Big4</t>
    </r>
    <r>
      <rPr>
        <sz val="9"/>
        <color rgb="FF000000"/>
        <rFont val="WenQuanYi Zen Hei"/>
        <family val="2"/>
      </rPr>
      <t xml:space="preserve">・大手総合＞中堅独立系）</t>
    </r>
    <r>
      <rPr>
        <sz val="9"/>
        <color rgb="FF000000"/>
        <rFont val="Meiryo"/>
        <family val="0"/>
        <charset val="1"/>
      </rPr>
      <t xml:space="preserve">×⑤</t>
    </r>
    <r>
      <rPr>
        <sz val="9"/>
        <color rgb="FF000000"/>
        <rFont val="WenQuanYi Zen Hei"/>
        <family val="2"/>
      </rPr>
      <t xml:space="preserve">値引き（</t>
    </r>
    <r>
      <rPr>
        <sz val="9"/>
        <color rgb="FF000000"/>
        <rFont val="Meiryo"/>
        <family val="0"/>
        <charset val="1"/>
      </rPr>
      <t xml:space="preserve">A</t>
    </r>
    <r>
      <rPr>
        <sz val="9"/>
        <color rgb="FF000000"/>
        <rFont val="WenQuanYi Zen Hei"/>
        <family val="2"/>
      </rPr>
      <t xml:space="preserve">社▲</t>
    </r>
    <r>
      <rPr>
        <sz val="9"/>
        <color rgb="FF000000"/>
        <rFont val="Meiryo"/>
        <family val="0"/>
        <charset val="1"/>
      </rPr>
      <t xml:space="preserve">32%</t>
    </r>
    <r>
      <rPr>
        <sz val="9"/>
        <color rgb="FF000000"/>
        <rFont val="WenQuanYi Zen Hei"/>
        <family val="2"/>
      </rPr>
      <t xml:space="preserve">）。</t>
    </r>
  </si>
  <si>
    <r>
      <rPr>
        <sz val="9"/>
        <color rgb="FF000000"/>
        <rFont val="WenQuanYi Zen Hei"/>
        <family val="2"/>
      </rPr>
      <t xml:space="preserve">粗い試算：</t>
    </r>
    <r>
      <rPr>
        <sz val="9"/>
        <color rgb="FF000000"/>
        <rFont val="Meiryo"/>
        <family val="0"/>
        <charset val="1"/>
      </rPr>
      <t xml:space="preserve">C</t>
    </r>
    <r>
      <rPr>
        <sz val="9"/>
        <color rgb="FF000000"/>
        <rFont val="WenQuanYi Zen Hei"/>
        <family val="2"/>
      </rPr>
      <t xml:space="preserve">社から「ベンダー評価＋非システム課題＋効果試算＋</t>
    </r>
    <r>
      <rPr>
        <sz val="9"/>
        <color rgb="FF000000"/>
        <rFont val="Meiryo"/>
        <family val="0"/>
        <charset val="1"/>
      </rPr>
      <t xml:space="preserve">12</t>
    </r>
    <r>
      <rPr>
        <sz val="9"/>
        <color rgb="FF000000"/>
        <rFont val="WenQuanYi Zen Hei"/>
        <family val="2"/>
      </rPr>
      <t xml:space="preserve">〜</t>
    </r>
    <r>
      <rPr>
        <sz val="9"/>
        <color rgb="FF000000"/>
        <rFont val="Meiryo"/>
        <family val="0"/>
        <charset val="1"/>
      </rPr>
      <t xml:space="preserve">1</t>
    </r>
    <r>
      <rPr>
        <sz val="9"/>
        <color rgb="FF000000"/>
        <rFont val="WenQuanYi Zen Hei"/>
        <family val="2"/>
      </rPr>
      <t xml:space="preserve">月分」を除き</t>
    </r>
    <r>
      <rPr>
        <sz val="9"/>
        <color rgb="FF000000"/>
        <rFont val="Meiryo"/>
        <family val="0"/>
        <charset val="1"/>
      </rPr>
      <t xml:space="preserve">3</t>
    </r>
    <r>
      <rPr>
        <sz val="9"/>
        <color rgb="FF000000"/>
        <rFont val="WenQuanYi Zen Hei"/>
        <family val="2"/>
      </rPr>
      <t xml:space="preserve">ヶ月相当に換算すると概ね</t>
    </r>
    <r>
      <rPr>
        <sz val="9"/>
        <color rgb="FF000000"/>
        <rFont val="Meiryo"/>
        <family val="0"/>
        <charset val="1"/>
      </rPr>
      <t xml:space="preserve">4,500</t>
    </r>
    <r>
      <rPr>
        <sz val="9"/>
        <color rgb="FF000000"/>
        <rFont val="WenQuanYi Zen Hei"/>
        <family val="2"/>
      </rPr>
      <t xml:space="preserve">〜</t>
    </r>
    <r>
      <rPr>
        <sz val="9"/>
        <color rgb="FF000000"/>
        <rFont val="Meiryo"/>
        <family val="0"/>
        <charset val="1"/>
      </rPr>
      <t xml:space="preserve">5,500</t>
    </r>
    <r>
      <rPr>
        <sz val="9"/>
        <color rgb="FF000000"/>
        <rFont val="WenQuanYi Zen Hei"/>
        <family val="2"/>
      </rPr>
      <t xml:space="preserve">万円規模と推定され、それでも残る対</t>
    </r>
    <r>
      <rPr>
        <sz val="9"/>
        <color rgb="FF000000"/>
        <rFont val="Meiryo"/>
        <family val="0"/>
        <charset val="1"/>
      </rPr>
      <t xml:space="preserve">A</t>
    </r>
    <r>
      <rPr>
        <sz val="9"/>
        <color rgb="FF000000"/>
        <rFont val="WenQuanYi Zen Hei"/>
        <family val="2"/>
      </rPr>
      <t xml:space="preserve">社・</t>
    </r>
    <r>
      <rPr>
        <sz val="9"/>
        <color rgb="FF000000"/>
        <rFont val="Meiryo"/>
        <family val="0"/>
        <charset val="1"/>
      </rPr>
      <t xml:space="preserve">B</t>
    </r>
    <r>
      <rPr>
        <sz val="9"/>
        <color rgb="FF000000"/>
        <rFont val="WenQuanYi Zen Hei"/>
        <family val="2"/>
      </rPr>
      <t xml:space="preserve">社との差は主に体制の厚みと単価水準の差。</t>
    </r>
  </si>
  <si>
    <r>
      <rPr>
        <b val="true"/>
        <sz val="11"/>
        <color rgb="FF000000"/>
        <rFont val="WenQuanYi Zen Hei"/>
        <family val="2"/>
      </rPr>
      <t xml:space="preserve">【</t>
    </r>
    <r>
      <rPr>
        <b val="true"/>
        <sz val="11"/>
        <color rgb="FF000000"/>
        <rFont val="Meiryo"/>
        <family val="0"/>
        <charset val="1"/>
      </rPr>
      <t xml:space="preserve">Apple to Apple</t>
    </r>
    <r>
      <rPr>
        <b val="true"/>
        <sz val="11"/>
        <color rgb="FF000000"/>
        <rFont val="WenQuanYi Zen Hei"/>
        <family val="2"/>
      </rPr>
      <t xml:space="preserve">化のための</t>
    </r>
    <r>
      <rPr>
        <b val="true"/>
        <sz val="11"/>
        <color rgb="FF000000"/>
        <rFont val="Meiryo"/>
        <family val="0"/>
        <charset val="1"/>
      </rPr>
      <t xml:space="preserve">5</t>
    </r>
    <r>
      <rPr>
        <b val="true"/>
        <sz val="11"/>
        <color rgb="FF000000"/>
        <rFont val="WenQuanYi Zen Hei"/>
        <family val="2"/>
      </rPr>
      <t xml:space="preserve">つのアクション（質疑・再見積り依頼時）】</t>
    </r>
  </si>
  <si>
    <t xml:space="preserve">① 基準スコープの固定</t>
  </si>
  <si>
    <r>
      <rPr>
        <sz val="9"/>
        <color rgb="FF000000"/>
        <rFont val="WenQuanYi Zen Hei"/>
        <family val="2"/>
      </rPr>
      <t xml:space="preserve">「</t>
    </r>
    <r>
      <rPr>
        <sz val="9"/>
        <color rgb="FF000000"/>
        <rFont val="Meiryo"/>
        <family val="0"/>
        <charset val="1"/>
      </rPr>
      <t xml:space="preserve">9</t>
    </r>
    <r>
      <rPr>
        <sz val="9"/>
        <color rgb="FF000000"/>
        <rFont val="WenQuanYi Zen Hei"/>
        <family val="2"/>
      </rPr>
      <t xml:space="preserve">〜</t>
    </r>
    <r>
      <rPr>
        <sz val="9"/>
        <color rgb="FF000000"/>
        <rFont val="Meiryo"/>
        <family val="0"/>
        <charset val="1"/>
      </rPr>
      <t xml:space="preserve">11</t>
    </r>
    <r>
      <rPr>
        <sz val="9"/>
        <color rgb="FF000000"/>
        <rFont val="WenQuanYi Zen Hei"/>
        <family val="2"/>
      </rPr>
      <t xml:space="preserve">月・貴社想定成果物</t>
    </r>
    <r>
      <rPr>
        <sz val="9"/>
        <color rgb="FF000000"/>
        <rFont val="Meiryo"/>
        <family val="0"/>
        <charset val="1"/>
      </rPr>
      <t xml:space="preserve">10</t>
    </r>
    <r>
      <rPr>
        <sz val="9"/>
        <color rgb="FF000000"/>
        <rFont val="WenQuanYi Zen Hei"/>
        <family val="2"/>
      </rPr>
      <t xml:space="preserve">点・</t>
    </r>
    <r>
      <rPr>
        <sz val="9"/>
        <color rgb="FF000000"/>
        <rFont val="Meiryo"/>
        <family val="0"/>
        <charset val="1"/>
      </rPr>
      <t xml:space="preserve">11</t>
    </r>
    <r>
      <rPr>
        <sz val="9"/>
        <color rgb="FF000000"/>
        <rFont val="WenQuanYi Zen Hei"/>
        <family val="2"/>
      </rPr>
      <t xml:space="preserve">月末</t>
    </r>
    <r>
      <rPr>
        <sz val="9"/>
        <color rgb="FF000000"/>
        <rFont val="Meiryo"/>
        <family val="0"/>
        <charset val="1"/>
      </rPr>
      <t xml:space="preserve">RFP</t>
    </r>
    <r>
      <rPr>
        <sz val="9"/>
        <color rgb="FF000000"/>
        <rFont val="WenQuanYi Zen Hei"/>
        <family val="2"/>
      </rPr>
      <t xml:space="preserve">発行可能状態」を基準スコープと定義し、</t>
    </r>
    <r>
      <rPr>
        <sz val="9"/>
        <color rgb="FF000000"/>
        <rFont val="Meiryo"/>
        <family val="0"/>
        <charset val="1"/>
      </rPr>
      <t xml:space="preserve">(a)</t>
    </r>
    <r>
      <rPr>
        <sz val="9"/>
        <color rgb="FF000000"/>
        <rFont val="WenQuanYi Zen Hei"/>
        <family val="2"/>
      </rPr>
      <t xml:space="preserve">基準スコープの金額と</t>
    </r>
    <r>
      <rPr>
        <sz val="9"/>
        <color rgb="FF000000"/>
        <rFont val="Meiryo"/>
        <family val="0"/>
        <charset val="1"/>
      </rPr>
      <t xml:space="preserve">(b)</t>
    </r>
    <r>
      <rPr>
        <sz val="9"/>
        <color rgb="FF000000"/>
        <rFont val="WenQuanYi Zen Hei"/>
        <family val="2"/>
      </rPr>
      <t xml:space="preserve">オプション（ベンダー評価支援／非システム課題整理／効果試算／展開・定着計画／アーキテクチャ素案）を分離した再見積りを</t>
    </r>
    <r>
      <rPr>
        <sz val="9"/>
        <color rgb="FF000000"/>
        <rFont val="Meiryo"/>
        <family val="0"/>
        <charset val="1"/>
      </rPr>
      <t xml:space="preserve">3</t>
    </r>
    <r>
      <rPr>
        <sz val="9"/>
        <color rgb="FF000000"/>
        <rFont val="WenQuanYi Zen Hei"/>
        <family val="2"/>
      </rPr>
      <t xml:space="preserve">社に要求する。</t>
    </r>
    <r>
      <rPr>
        <sz val="9"/>
        <color rgb="FF000000"/>
        <rFont val="Meiryo"/>
        <family val="0"/>
        <charset val="1"/>
      </rPr>
      <t xml:space="preserve">C</t>
    </r>
    <r>
      <rPr>
        <sz val="9"/>
        <color rgb="FF000000"/>
        <rFont val="WenQuanYi Zen Hei"/>
        <family val="2"/>
      </rPr>
      <t xml:space="preserve">社にはベンダー評価等の切り出し、</t>
    </r>
    <r>
      <rPr>
        <sz val="9"/>
        <color rgb="FF000000"/>
        <rFont val="Meiryo"/>
        <family val="0"/>
        <charset val="1"/>
      </rPr>
      <t xml:space="preserve">B</t>
    </r>
    <r>
      <rPr>
        <sz val="9"/>
        <color rgb="FF000000"/>
        <rFont val="WenQuanYi Zen Hei"/>
        <family val="2"/>
      </rPr>
      <t xml:space="preserve">社には案②ベースで</t>
    </r>
    <r>
      <rPr>
        <sz val="9"/>
        <color rgb="FF000000"/>
        <rFont val="Meiryo"/>
        <family val="0"/>
        <charset val="1"/>
      </rPr>
      <t xml:space="preserve">11</t>
    </r>
    <r>
      <rPr>
        <sz val="9"/>
        <color rgb="FF000000"/>
        <rFont val="WenQuanYi Zen Hei"/>
        <family val="2"/>
      </rPr>
      <t xml:space="preserve">月末前倒し時の金額、</t>
    </r>
    <r>
      <rPr>
        <sz val="9"/>
        <color rgb="FF000000"/>
        <rFont val="Meiryo"/>
        <family val="0"/>
        <charset val="1"/>
      </rPr>
      <t xml:space="preserve">A</t>
    </r>
    <r>
      <rPr>
        <sz val="9"/>
        <color rgb="FF000000"/>
        <rFont val="WenQuanYi Zen Hei"/>
        <family val="2"/>
      </rPr>
      <t xml:space="preserve">社には成果物</t>
    </r>
    <r>
      <rPr>
        <sz val="9"/>
        <color rgb="FF000000"/>
        <rFont val="Meiryo"/>
        <family val="0"/>
        <charset val="1"/>
      </rPr>
      <t xml:space="preserve">10</t>
    </r>
    <r>
      <rPr>
        <sz val="9"/>
        <color rgb="FF000000"/>
        <rFont val="WenQuanYi Zen Hei"/>
        <family val="2"/>
      </rPr>
      <t xml:space="preserve">点との対応表と不足分（海外拠点拡張ロードマップ等）込みの金額を求める。</t>
    </r>
  </si>
  <si>
    <t xml:space="preserve">② 工数・単価の統一フォーマット</t>
  </si>
  <si>
    <r>
      <rPr>
        <sz val="9"/>
        <color rgb="FF000000"/>
        <rFont val="WenQuanYi Zen Hei"/>
        <family val="2"/>
      </rPr>
      <t xml:space="preserve">ランク別単価</t>
    </r>
    <r>
      <rPr>
        <sz val="9"/>
        <color rgb="FF000000"/>
        <rFont val="Meiryo"/>
        <family val="0"/>
        <charset val="1"/>
      </rPr>
      <t xml:space="preserve">×</t>
    </r>
    <r>
      <rPr>
        <sz val="9"/>
        <color rgb="FF000000"/>
        <rFont val="WenQuanYi Zen Hei"/>
        <family val="2"/>
      </rPr>
      <t xml:space="preserve">人数</t>
    </r>
    <r>
      <rPr>
        <sz val="9"/>
        <color rgb="FF000000"/>
        <rFont val="Meiryo"/>
        <family val="0"/>
        <charset val="1"/>
      </rPr>
      <t xml:space="preserve">×</t>
    </r>
    <r>
      <rPr>
        <sz val="9"/>
        <color rgb="FF000000"/>
        <rFont val="WenQuanYi Zen Hei"/>
        <family val="2"/>
      </rPr>
      <t xml:space="preserve">稼働率（</t>
    </r>
    <r>
      <rPr>
        <sz val="9"/>
        <color rgb="FF000000"/>
        <rFont val="Meiryo"/>
        <family val="0"/>
        <charset val="1"/>
      </rPr>
      <t xml:space="preserve">%</t>
    </r>
    <r>
      <rPr>
        <sz val="9"/>
        <color rgb="FF000000"/>
        <rFont val="WenQuanYi Zen Hei"/>
        <family val="2"/>
      </rPr>
      <t xml:space="preserve">）</t>
    </r>
    <r>
      <rPr>
        <sz val="9"/>
        <color rgb="FF000000"/>
        <rFont val="Meiryo"/>
        <family val="0"/>
        <charset val="1"/>
      </rPr>
      <t xml:space="preserve">×</t>
    </r>
    <r>
      <rPr>
        <sz val="9"/>
        <color rgb="FF000000"/>
        <rFont val="WenQuanYi Zen Hei"/>
        <family val="2"/>
      </rPr>
      <t xml:space="preserve">期間のマトリクスと、</t>
    </r>
    <r>
      <rPr>
        <sz val="9"/>
        <color rgb="FF000000"/>
        <rFont val="Meiryo"/>
        <family val="0"/>
        <charset val="1"/>
      </rPr>
      <t xml:space="preserve">WBS</t>
    </r>
    <r>
      <rPr>
        <sz val="9"/>
        <color rgb="FF000000"/>
        <rFont val="WenQuanYi Zen Hei"/>
        <family val="2"/>
      </rPr>
      <t xml:space="preserve">タスクとの工数対応表を統一様式で提出させる（採点項目</t>
    </r>
    <r>
      <rPr>
        <sz val="9"/>
        <color rgb="FF000000"/>
        <rFont val="Meiryo"/>
        <family val="0"/>
        <charset val="1"/>
      </rPr>
      <t xml:space="preserve">C2</t>
    </r>
    <r>
      <rPr>
        <sz val="9"/>
        <color rgb="FF000000"/>
        <rFont val="WenQuanYi Zen Hei"/>
        <family val="2"/>
      </rPr>
      <t xml:space="preserve">の確定にも直結）。</t>
    </r>
  </si>
  <si>
    <t xml:space="preserve">③ 前提条件の統一</t>
  </si>
  <si>
    <r>
      <rPr>
        <sz val="9"/>
        <color rgb="FF000000"/>
        <rFont val="Meiryo"/>
        <family val="0"/>
        <charset val="1"/>
      </rPr>
      <t xml:space="preserve">As-Is</t>
    </r>
    <r>
      <rPr>
        <sz val="9"/>
        <color rgb="FF000000"/>
        <rFont val="WenQuanYi Zen Hei"/>
        <family val="2"/>
      </rPr>
      <t xml:space="preserve">成果物の受領範囲／海外拠点ヒアリング（</t>
    </r>
    <r>
      <rPr>
        <sz val="9"/>
        <color rgb="FF000000"/>
        <rFont val="Meiryo"/>
        <family val="0"/>
        <charset val="1"/>
      </rPr>
      <t xml:space="preserve">9</t>
    </r>
    <r>
      <rPr>
        <sz val="9"/>
        <color rgb="FF000000"/>
        <rFont val="WenQuanYi Zen Hei"/>
        <family val="2"/>
      </rPr>
      <t xml:space="preserve">月末回収）の役割分担／貴社側意思決定のリードタイム／経費の扱い（</t>
    </r>
    <r>
      <rPr>
        <sz val="9"/>
        <color rgb="FF000000"/>
        <rFont val="Meiryo"/>
        <family val="0"/>
        <charset val="1"/>
      </rPr>
      <t xml:space="preserve">3</t>
    </r>
    <r>
      <rPr>
        <sz val="9"/>
        <color rgb="FF000000"/>
        <rFont val="WenQuanYi Zen Hei"/>
        <family val="2"/>
      </rPr>
      <t xml:space="preserve">社とも実費別途→上限設定）／見積有効期限（</t>
    </r>
    <r>
      <rPr>
        <sz val="9"/>
        <color rgb="FF000000"/>
        <rFont val="Meiryo"/>
        <family val="0"/>
        <charset val="1"/>
      </rPr>
      <t xml:space="preserve">B</t>
    </r>
    <r>
      <rPr>
        <sz val="9"/>
        <color rgb="FF000000"/>
        <rFont val="WenQuanYi Zen Hei"/>
        <family val="2"/>
      </rPr>
      <t xml:space="preserve">社・</t>
    </r>
    <r>
      <rPr>
        <sz val="9"/>
        <color rgb="FF000000"/>
        <rFont val="Meiryo"/>
        <family val="0"/>
        <charset val="1"/>
      </rPr>
      <t xml:space="preserve">C</t>
    </r>
    <r>
      <rPr>
        <sz val="9"/>
        <color rgb="FF000000"/>
        <rFont val="WenQuanYi Zen Hei"/>
        <family val="2"/>
      </rPr>
      <t xml:space="preserve">社は</t>
    </r>
    <r>
      <rPr>
        <sz val="9"/>
        <color rgb="FF000000"/>
        <rFont val="Meiryo"/>
        <family val="0"/>
        <charset val="1"/>
      </rPr>
      <t xml:space="preserve">8</t>
    </r>
    <r>
      <rPr>
        <sz val="9"/>
        <color rgb="FF000000"/>
        <rFont val="WenQuanYi Zen Hei"/>
        <family val="2"/>
      </rPr>
      <t xml:space="preserve">月末）を統一条件として明示する。</t>
    </r>
  </si>
  <si>
    <t xml:space="preserve">④ 値引きの正規化</t>
  </si>
  <si>
    <r>
      <rPr>
        <sz val="9"/>
        <color rgb="FF000000"/>
        <rFont val="Meiryo"/>
        <family val="0"/>
        <charset val="1"/>
      </rPr>
      <t xml:space="preserve">A</t>
    </r>
    <r>
      <rPr>
        <sz val="9"/>
        <color rgb="FF000000"/>
        <rFont val="WenQuanYi Zen Hei"/>
        <family val="2"/>
      </rPr>
      <t xml:space="preserve">社は定価（</t>
    </r>
    <r>
      <rPr>
        <sz val="9"/>
        <color rgb="FF000000"/>
        <rFont val="Meiryo"/>
        <family val="0"/>
        <charset val="1"/>
      </rPr>
      <t xml:space="preserve">3,520</t>
    </r>
    <r>
      <rPr>
        <sz val="9"/>
        <color rgb="FF000000"/>
        <rFont val="WenQuanYi Zen Hei"/>
        <family val="2"/>
      </rPr>
      <t xml:space="preserve">万円）ベースでも比較し、値引きの適用条件と次フェーズ以降の単価水準を確認する（採点ルール上の「極端な安値の実態確認」に該当）。</t>
    </r>
  </si>
  <si>
    <t xml:space="preserve">⑤ 体制の確定</t>
  </si>
  <si>
    <r>
      <rPr>
        <sz val="9"/>
        <color rgb="FF000000"/>
        <rFont val="WenQuanYi Zen Hei"/>
        <family val="2"/>
      </rPr>
      <t xml:space="preserve">実名・稼働率</t>
    </r>
    <r>
      <rPr>
        <sz val="9"/>
        <color rgb="FF000000"/>
        <rFont val="Meiryo"/>
        <family val="0"/>
        <charset val="1"/>
      </rPr>
      <t xml:space="preserve">%</t>
    </r>
    <r>
      <rPr>
        <sz val="9"/>
        <color rgb="FF000000"/>
        <rFont val="WenQuanYi Zen Hei"/>
        <family val="2"/>
      </rPr>
      <t xml:space="preserve">・期間中の交代禁止（または交代時の品質担保条件）・他案件との重複状況を統一様式で提出させる（</t>
    </r>
    <r>
      <rPr>
        <sz val="9"/>
        <color rgb="FF000000"/>
        <rFont val="Meiryo"/>
        <family val="0"/>
        <charset val="1"/>
      </rPr>
      <t xml:space="preserve">A</t>
    </r>
    <r>
      <rPr>
        <sz val="9"/>
        <color rgb="FF000000"/>
        <rFont val="WenQuanYi Zen Hei"/>
        <family val="2"/>
      </rPr>
      <t xml:space="preserve">社の「</t>
    </r>
    <r>
      <rPr>
        <sz val="9"/>
        <color rgb="FF000000"/>
        <rFont val="Meiryo"/>
        <family val="0"/>
        <charset val="1"/>
      </rPr>
      <t xml:space="preserve">or</t>
    </r>
    <r>
      <rPr>
        <sz val="9"/>
        <color rgb="FF000000"/>
        <rFont val="WenQuanYi Zen Hei"/>
        <family val="2"/>
      </rPr>
      <t xml:space="preserve">」、</t>
    </r>
    <r>
      <rPr>
        <sz val="9"/>
        <color rgb="FF000000"/>
        <rFont val="Meiryo"/>
        <family val="0"/>
        <charset val="1"/>
      </rPr>
      <t xml:space="preserve">B</t>
    </r>
    <r>
      <rPr>
        <sz val="9"/>
        <color rgb="FF000000"/>
        <rFont val="WenQuanYi Zen Hei"/>
        <family val="2"/>
      </rPr>
      <t xml:space="preserve">社の実働</t>
    </r>
    <r>
      <rPr>
        <sz val="9"/>
        <color rgb="FF000000"/>
        <rFont val="Meiryo"/>
        <family val="0"/>
        <charset val="1"/>
      </rPr>
      <t xml:space="preserve">TBD</t>
    </r>
    <r>
      <rPr>
        <sz val="9"/>
        <color rgb="FF000000"/>
        <rFont val="WenQuanYi Zen Hei"/>
        <family val="2"/>
      </rPr>
      <t xml:space="preserve">、</t>
    </r>
    <r>
      <rPr>
        <sz val="9"/>
        <color rgb="FF000000"/>
        <rFont val="Meiryo"/>
        <family val="0"/>
        <charset val="1"/>
      </rPr>
      <t xml:space="preserve">C</t>
    </r>
    <r>
      <rPr>
        <sz val="9"/>
        <color rgb="FF000000"/>
        <rFont val="WenQuanYi Zen Hei"/>
        <family val="2"/>
      </rPr>
      <t xml:space="preserve">社の「変更の可能性」注記をすべて解消してから価格を比較する）。</t>
    </r>
  </si>
</sst>
</file>

<file path=xl/styles.xml><?xml version="1.0" encoding="utf-8"?>
<styleSheet xmlns="http://schemas.openxmlformats.org/spreadsheetml/2006/main">
  <numFmts count="3">
    <numFmt numFmtId="164" formatCode="General"/>
    <numFmt numFmtId="165" formatCode="0.0"/>
    <numFmt numFmtId="166" formatCode="General"/>
  </numFmts>
  <fonts count="24">
    <font>
      <sz val="11"/>
      <color theme="1"/>
      <name val="Calibri"/>
      <family val="2"/>
      <charset val="1"/>
    </font>
    <font>
      <sz val="10"/>
      <name val="Arial"/>
      <family val="0"/>
    </font>
    <font>
      <sz val="10"/>
      <name val="Arial"/>
      <family val="0"/>
    </font>
    <font>
      <sz val="10"/>
      <name val="Arial"/>
      <family val="0"/>
    </font>
    <font>
      <b val="true"/>
      <sz val="14"/>
      <color rgb="FFFFFFFF"/>
      <name val="WenQuanYi Zen Hei"/>
      <family val="2"/>
    </font>
    <font>
      <b val="true"/>
      <sz val="14"/>
      <color rgb="FFFFFFFF"/>
      <name val="Meiryo"/>
      <family val="0"/>
      <charset val="1"/>
    </font>
    <font>
      <sz val="9"/>
      <color rgb="FF000000"/>
      <name val="WenQuanYi Zen Hei"/>
      <family val="2"/>
    </font>
    <font>
      <sz val="9"/>
      <color rgb="FF000000"/>
      <name val="Meiryo"/>
      <family val="0"/>
      <charset val="1"/>
    </font>
    <font>
      <b val="true"/>
      <sz val="10"/>
      <color rgb="FFFFFFFF"/>
      <name val="Meiryo"/>
      <family val="0"/>
      <charset val="1"/>
    </font>
    <font>
      <b val="true"/>
      <sz val="10"/>
      <color rgb="FFFFFFFF"/>
      <name val="WenQuanYi Zen Hei"/>
      <family val="2"/>
    </font>
    <font>
      <b val="true"/>
      <sz val="9"/>
      <color rgb="FFFFFFFF"/>
      <name val="WenQuanYi Zen Hei"/>
      <family val="2"/>
    </font>
    <font>
      <b val="true"/>
      <sz val="10"/>
      <color rgb="FF000000"/>
      <name val="Meiryo"/>
      <family val="0"/>
      <charset val="1"/>
    </font>
    <font>
      <b val="true"/>
      <sz val="10"/>
      <color rgb="FF000000"/>
      <name val="WenQuanYi Zen Hei"/>
      <family val="2"/>
    </font>
    <font>
      <b val="true"/>
      <sz val="9"/>
      <color rgb="FF000000"/>
      <name val="WenQuanYi Zen Hei"/>
      <family val="2"/>
    </font>
    <font>
      <sz val="8"/>
      <color rgb="FF000000"/>
      <name val="WenQuanYi Zen Hei"/>
      <family val="2"/>
    </font>
    <font>
      <sz val="8"/>
      <color rgb="FF000000"/>
      <name val="Meiryo"/>
      <family val="0"/>
      <charset val="1"/>
    </font>
    <font>
      <sz val="10"/>
      <color rgb="FF000000"/>
      <name val="Meiryo"/>
      <family val="0"/>
      <charset val="1"/>
    </font>
    <font>
      <b val="true"/>
      <sz val="11"/>
      <color rgb="FF000000"/>
      <name val="Meiryo"/>
      <family val="0"/>
      <charset val="1"/>
    </font>
    <font>
      <b val="true"/>
      <sz val="9"/>
      <color rgb="FF000000"/>
      <name val="Meiryo"/>
      <family val="0"/>
      <charset val="1"/>
    </font>
    <font>
      <b val="true"/>
      <sz val="11"/>
      <color rgb="FF000000"/>
      <name val="WenQuanYi Zen Hei"/>
      <family val="2"/>
    </font>
    <font>
      <b val="true"/>
      <sz val="12"/>
      <color rgb="FF000000"/>
      <name val="Meiryo"/>
      <family val="0"/>
      <charset val="1"/>
    </font>
    <font>
      <b val="true"/>
      <sz val="13"/>
      <color rgb="FFFFFFFF"/>
      <name val="WenQuanYi Zen Hei"/>
      <family val="2"/>
    </font>
    <font>
      <sz val="10"/>
      <color rgb="FF000000"/>
      <name val="WenQuanYi Zen Hei"/>
      <family val="2"/>
    </font>
    <font>
      <b val="true"/>
      <sz val="13"/>
      <color rgb="FFFFFFFF"/>
      <name val="Meiryo"/>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EDEDED"/>
      </patternFill>
    </fill>
    <fill>
      <patternFill patternType="solid">
        <fgColor rgb="FFD6DCE5"/>
        <bgColor rgb="FFEDEDED"/>
      </patternFill>
    </fill>
    <fill>
      <patternFill patternType="solid">
        <fgColor rgb="FFEDEDED"/>
        <bgColor rgb="FFFFF2CC"/>
      </patternFill>
    </fill>
    <fill>
      <patternFill patternType="solid">
        <fgColor rgb="FFFFE699"/>
        <bgColor rgb="FFFFF2CC"/>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5" fontId="16"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7" fillId="3"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6" fontId="11" fillId="5" borderId="1" xfId="0" applyFont="true" applyBorder="true" applyAlignment="true" applyProtection="false">
      <alignment horizontal="center" vertical="center" textRotation="0" wrapText="tru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5" fontId="11" fillId="5" borderId="1" xfId="0" applyFont="true" applyBorder="true" applyAlignment="true" applyProtection="false">
      <alignment horizontal="center" vertical="center" textRotation="0" wrapText="tru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5" fontId="20" fillId="6" borderId="1" xfId="0" applyFont="true" applyBorder="true" applyAlignment="true" applyProtection="false">
      <alignment horizontal="center" vertical="center" textRotation="0" wrapText="true" indent="0" shrinkToFit="false"/>
      <protection locked="true" hidden="false"/>
    </xf>
    <xf numFmtId="164" fontId="21" fillId="2" borderId="0"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DEDED"/>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99999"/>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7"/>
    <col collapsed="false" customWidth="true" hidden="false" outlineLevel="0" max="3" min="3" style="0" width="26"/>
    <col collapsed="false" customWidth="true" hidden="false" outlineLevel="0" max="5" min="4" style="0" width="6"/>
    <col collapsed="false" customWidth="true" hidden="false" outlineLevel="0" max="6" min="6" style="0" width="6.5"/>
    <col collapsed="false" customWidth="true" hidden="false" outlineLevel="0" max="7" min="7" style="0" width="46"/>
    <col collapsed="false" customWidth="true" hidden="false" outlineLevel="0" max="8" min="8" style="0" width="6"/>
    <col collapsed="false" customWidth="true" hidden="false" outlineLevel="0" max="9" min="9" style="0" width="6.5"/>
    <col collapsed="false" customWidth="true" hidden="false" outlineLevel="0" max="10" min="10" style="0" width="46"/>
    <col collapsed="false" customWidth="true" hidden="false" outlineLevel="0" max="11" min="11" style="0" width="6"/>
    <col collapsed="false" customWidth="true" hidden="false" outlineLevel="0" max="12" min="12" style="0" width="6.5"/>
    <col collapsed="false" customWidth="true" hidden="false" outlineLevel="0" max="13" min="13" style="0" width="46"/>
  </cols>
  <sheetData>
    <row r="1" customFormat="false" ht="24" hidden="false" customHeight="true" outlineLevel="0" collapsed="false">
      <c r="A1" s="1" t="s">
        <v>0</v>
      </c>
      <c r="B1" s="1"/>
      <c r="C1" s="1"/>
      <c r="D1" s="1"/>
      <c r="E1" s="1"/>
      <c r="F1" s="1"/>
      <c r="G1" s="1"/>
      <c r="H1" s="1"/>
      <c r="I1" s="1"/>
      <c r="J1" s="1"/>
      <c r="K1" s="1"/>
      <c r="L1" s="1"/>
      <c r="M1" s="1"/>
    </row>
    <row r="2" customFormat="false" ht="39.75" hidden="false" customHeight="true" outlineLevel="0" collapsed="false">
      <c r="A2" s="2" t="s">
        <v>1</v>
      </c>
      <c r="B2" s="2"/>
      <c r="C2" s="2"/>
      <c r="D2" s="2"/>
      <c r="E2" s="2"/>
      <c r="F2" s="2"/>
      <c r="G2" s="2"/>
      <c r="H2" s="2"/>
      <c r="I2" s="2"/>
      <c r="J2" s="2"/>
      <c r="K2" s="2"/>
      <c r="L2" s="2"/>
      <c r="M2" s="2"/>
    </row>
    <row r="3" customFormat="false" ht="15" hidden="false" customHeight="true" outlineLevel="0" collapsed="false">
      <c r="A3" s="3" t="s">
        <v>2</v>
      </c>
      <c r="B3" s="4" t="s">
        <v>3</v>
      </c>
      <c r="C3" s="4" t="s">
        <v>4</v>
      </c>
      <c r="D3" s="4" t="s">
        <v>5</v>
      </c>
      <c r="E3" s="3" t="s">
        <v>6</v>
      </c>
      <c r="F3" s="3"/>
      <c r="G3" s="3"/>
      <c r="H3" s="3" t="s">
        <v>7</v>
      </c>
      <c r="I3" s="3"/>
      <c r="J3" s="3"/>
      <c r="K3" s="3" t="s">
        <v>8</v>
      </c>
      <c r="L3" s="3"/>
      <c r="M3" s="3"/>
    </row>
    <row r="4" customFormat="false" ht="15" hidden="false" customHeight="false" outlineLevel="0" collapsed="false">
      <c r="A4" s="3"/>
      <c r="B4" s="3"/>
      <c r="C4" s="3"/>
      <c r="D4" s="3"/>
      <c r="E4" s="5" t="s">
        <v>9</v>
      </c>
      <c r="F4" s="5" t="s">
        <v>10</v>
      </c>
      <c r="G4" s="5" t="s">
        <v>11</v>
      </c>
      <c r="H4" s="5" t="s">
        <v>9</v>
      </c>
      <c r="I4" s="5" t="s">
        <v>10</v>
      </c>
      <c r="J4" s="5" t="s">
        <v>11</v>
      </c>
      <c r="K4" s="5" t="s">
        <v>9</v>
      </c>
      <c r="L4" s="5" t="s">
        <v>10</v>
      </c>
      <c r="M4" s="5" t="s">
        <v>11</v>
      </c>
    </row>
    <row r="5" customFormat="false" ht="15" hidden="false" customHeight="false" outlineLevel="0" collapsed="false">
      <c r="A5" s="6" t="s">
        <v>12</v>
      </c>
      <c r="B5" s="6"/>
      <c r="C5" s="6"/>
      <c r="D5" s="7" t="n">
        <v>50</v>
      </c>
      <c r="E5" s="8"/>
      <c r="F5" s="8"/>
      <c r="G5" s="8"/>
      <c r="H5" s="8"/>
      <c r="I5" s="8"/>
      <c r="J5" s="8"/>
      <c r="K5" s="8"/>
      <c r="L5" s="8"/>
      <c r="M5" s="8"/>
    </row>
    <row r="6" customFormat="false" ht="87.75" hidden="false" customHeight="true" outlineLevel="0" collapsed="false">
      <c r="A6" s="9" t="s">
        <v>13</v>
      </c>
      <c r="B6" s="10" t="s">
        <v>14</v>
      </c>
      <c r="C6" s="11" t="s">
        <v>15</v>
      </c>
      <c r="D6" s="12" t="n">
        <v>6</v>
      </c>
      <c r="E6" s="13" t="n">
        <v>4</v>
      </c>
      <c r="F6" s="14" t="n">
        <f aca="false">ROUND($D6*E6/5,1)</f>
        <v>4.8</v>
      </c>
      <c r="G6" s="15" t="s">
        <v>16</v>
      </c>
      <c r="H6" s="13" t="n">
        <v>4</v>
      </c>
      <c r="I6" s="14" t="n">
        <f aca="false">ROUND($D6*H6/5,1)</f>
        <v>4.8</v>
      </c>
      <c r="J6" s="15" t="s">
        <v>17</v>
      </c>
      <c r="K6" s="13" t="n">
        <v>5</v>
      </c>
      <c r="L6" s="14" t="n">
        <f aca="false">ROUND($D6*K6/5,1)</f>
        <v>6</v>
      </c>
      <c r="M6" s="11" t="s">
        <v>18</v>
      </c>
    </row>
    <row r="7" customFormat="false" ht="87.75" hidden="false" customHeight="true" outlineLevel="0" collapsed="false">
      <c r="A7" s="9" t="s">
        <v>19</v>
      </c>
      <c r="B7" s="10" t="s">
        <v>20</v>
      </c>
      <c r="C7" s="11" t="s">
        <v>21</v>
      </c>
      <c r="D7" s="12" t="n">
        <v>10</v>
      </c>
      <c r="E7" s="16" t="n">
        <v>3</v>
      </c>
      <c r="F7" s="14" t="n">
        <f aca="false">ROUND($D7*E7/5,1)</f>
        <v>6</v>
      </c>
      <c r="G7" s="11" t="s">
        <v>22</v>
      </c>
      <c r="H7" s="16" t="n">
        <v>3</v>
      </c>
      <c r="I7" s="14" t="n">
        <f aca="false">ROUND($D7*H7/5,1)</f>
        <v>6</v>
      </c>
      <c r="J7" s="11" t="s">
        <v>23</v>
      </c>
      <c r="K7" s="16" t="n">
        <v>5</v>
      </c>
      <c r="L7" s="14" t="n">
        <f aca="false">ROUND($D7*K7/5,1)</f>
        <v>10</v>
      </c>
      <c r="M7" s="11" t="s">
        <v>24</v>
      </c>
    </row>
    <row r="8" customFormat="false" ht="87.75" hidden="false" customHeight="true" outlineLevel="0" collapsed="false">
      <c r="A8" s="9" t="s">
        <v>25</v>
      </c>
      <c r="B8" s="10" t="s">
        <v>26</v>
      </c>
      <c r="C8" s="11" t="s">
        <v>27</v>
      </c>
      <c r="D8" s="12" t="n">
        <v>8</v>
      </c>
      <c r="E8" s="13" t="n">
        <v>3</v>
      </c>
      <c r="F8" s="14" t="n">
        <f aca="false">ROUND($D8*E8/5,1)</f>
        <v>4.8</v>
      </c>
      <c r="G8" s="11" t="s">
        <v>28</v>
      </c>
      <c r="H8" s="13" t="n">
        <v>5</v>
      </c>
      <c r="I8" s="14" t="n">
        <f aca="false">ROUND($D8*H8/5,1)</f>
        <v>8</v>
      </c>
      <c r="J8" s="11" t="s">
        <v>29</v>
      </c>
      <c r="K8" s="13" t="n">
        <v>5</v>
      </c>
      <c r="L8" s="14" t="n">
        <f aca="false">ROUND($D8*K8/5,1)</f>
        <v>8</v>
      </c>
      <c r="M8" s="11" t="s">
        <v>30</v>
      </c>
    </row>
    <row r="9" customFormat="false" ht="87.75" hidden="false" customHeight="true" outlineLevel="0" collapsed="false">
      <c r="A9" s="9" t="s">
        <v>31</v>
      </c>
      <c r="B9" s="10" t="s">
        <v>32</v>
      </c>
      <c r="C9" s="15" t="s">
        <v>33</v>
      </c>
      <c r="D9" s="12" t="n">
        <v>8</v>
      </c>
      <c r="E9" s="13" t="n">
        <v>3</v>
      </c>
      <c r="F9" s="14" t="n">
        <f aca="false">ROUND($D9*E9/5,1)</f>
        <v>4.8</v>
      </c>
      <c r="G9" s="11" t="s">
        <v>34</v>
      </c>
      <c r="H9" s="13" t="n">
        <v>4</v>
      </c>
      <c r="I9" s="14" t="n">
        <f aca="false">ROUND($D9*H9/5,1)</f>
        <v>6.4</v>
      </c>
      <c r="J9" s="15" t="s">
        <v>35</v>
      </c>
      <c r="K9" s="13" t="n">
        <v>4</v>
      </c>
      <c r="L9" s="14" t="n">
        <f aca="false">ROUND($D9*K9/5,1)</f>
        <v>6.4</v>
      </c>
      <c r="M9" s="11" t="s">
        <v>36</v>
      </c>
    </row>
    <row r="10" customFormat="false" ht="87.75" hidden="false" customHeight="true" outlineLevel="0" collapsed="false">
      <c r="A10" s="9" t="s">
        <v>37</v>
      </c>
      <c r="B10" s="10" t="s">
        <v>38</v>
      </c>
      <c r="C10" s="11" t="s">
        <v>39</v>
      </c>
      <c r="D10" s="12" t="n">
        <v>10</v>
      </c>
      <c r="E10" s="13" t="n">
        <v>2</v>
      </c>
      <c r="F10" s="14" t="n">
        <f aca="false">ROUND($D10*E10/5,1)</f>
        <v>4</v>
      </c>
      <c r="G10" s="11" t="s">
        <v>40</v>
      </c>
      <c r="H10" s="13" t="n">
        <v>4</v>
      </c>
      <c r="I10" s="14" t="n">
        <f aca="false">ROUND($D10*H10/5,1)</f>
        <v>8</v>
      </c>
      <c r="J10" s="15" t="s">
        <v>41</v>
      </c>
      <c r="K10" s="13" t="n">
        <v>5</v>
      </c>
      <c r="L10" s="14" t="n">
        <f aca="false">ROUND($D10*K10/5,1)</f>
        <v>10</v>
      </c>
      <c r="M10" s="15" t="s">
        <v>42</v>
      </c>
    </row>
    <row r="11" customFormat="false" ht="87.75" hidden="false" customHeight="true" outlineLevel="0" collapsed="false">
      <c r="A11" s="9" t="s">
        <v>43</v>
      </c>
      <c r="B11" s="10" t="s">
        <v>44</v>
      </c>
      <c r="C11" s="11" t="s">
        <v>45</v>
      </c>
      <c r="D11" s="12" t="n">
        <v>8</v>
      </c>
      <c r="E11" s="16" t="n">
        <v>3</v>
      </c>
      <c r="F11" s="14" t="n">
        <f aca="false">ROUND($D11*E11/5,1)</f>
        <v>4.8</v>
      </c>
      <c r="G11" s="11" t="s">
        <v>46</v>
      </c>
      <c r="H11" s="16" t="n">
        <v>2</v>
      </c>
      <c r="I11" s="14" t="n">
        <f aca="false">ROUND($D11*H11/5,1)</f>
        <v>3.2</v>
      </c>
      <c r="J11" s="11" t="s">
        <v>47</v>
      </c>
      <c r="K11" s="16" t="n">
        <v>4</v>
      </c>
      <c r="L11" s="14" t="n">
        <f aca="false">ROUND($D11*K11/5,1)</f>
        <v>6.4</v>
      </c>
      <c r="M11" s="11" t="s">
        <v>48</v>
      </c>
    </row>
    <row r="12" customFormat="false" ht="15" hidden="false" customHeight="false" outlineLevel="0" collapsed="false">
      <c r="A12" s="17" t="s">
        <v>49</v>
      </c>
      <c r="B12" s="17"/>
      <c r="C12" s="17"/>
      <c r="D12" s="18" t="n">
        <f aca="false">SUM(D6:D11)</f>
        <v>50</v>
      </c>
      <c r="E12" s="19"/>
      <c r="F12" s="20" t="n">
        <f aca="false">ROUND(SUM(F6:F11),1)</f>
        <v>29.2</v>
      </c>
      <c r="G12" s="19"/>
      <c r="H12" s="19"/>
      <c r="I12" s="20" t="n">
        <f aca="false">ROUND(SUM(I6:I11),1)</f>
        <v>36.4</v>
      </c>
      <c r="J12" s="19"/>
      <c r="K12" s="19"/>
      <c r="L12" s="20" t="n">
        <f aca="false">ROUND(SUM(L6:L11),1)</f>
        <v>46.8</v>
      </c>
      <c r="M12" s="19"/>
    </row>
    <row r="13" customFormat="false" ht="15" hidden="false" customHeight="false" outlineLevel="0" collapsed="false">
      <c r="A13" s="6" t="s">
        <v>50</v>
      </c>
      <c r="B13" s="6"/>
      <c r="C13" s="6"/>
      <c r="D13" s="7" t="n">
        <v>23</v>
      </c>
      <c r="E13" s="8"/>
      <c r="F13" s="8"/>
      <c r="G13" s="8"/>
      <c r="H13" s="8"/>
      <c r="I13" s="8"/>
      <c r="J13" s="8"/>
      <c r="K13" s="8"/>
      <c r="L13" s="8"/>
      <c r="M13" s="8"/>
    </row>
    <row r="14" customFormat="false" ht="87.75" hidden="false" customHeight="true" outlineLevel="0" collapsed="false">
      <c r="A14" s="9" t="s">
        <v>51</v>
      </c>
      <c r="B14" s="10" t="s">
        <v>52</v>
      </c>
      <c r="C14" s="15" t="s">
        <v>53</v>
      </c>
      <c r="D14" s="12" t="n">
        <v>6</v>
      </c>
      <c r="E14" s="16" t="n">
        <v>3</v>
      </c>
      <c r="F14" s="14" t="n">
        <f aca="false">ROUND($D14*E14/5,1)</f>
        <v>3.6</v>
      </c>
      <c r="G14" s="11" t="s">
        <v>54</v>
      </c>
      <c r="H14" s="16" t="n">
        <v>4</v>
      </c>
      <c r="I14" s="14" t="n">
        <f aca="false">ROUND($D14*H14/5,1)</f>
        <v>4.8</v>
      </c>
      <c r="J14" s="11" t="s">
        <v>55</v>
      </c>
      <c r="K14" s="16" t="n">
        <v>2</v>
      </c>
      <c r="L14" s="14" t="n">
        <f aca="false">ROUND($D14*K14/5,1)</f>
        <v>2.4</v>
      </c>
      <c r="M14" s="15" t="s">
        <v>56</v>
      </c>
    </row>
    <row r="15" customFormat="false" ht="87.75" hidden="false" customHeight="true" outlineLevel="0" collapsed="false">
      <c r="A15" s="9" t="s">
        <v>57</v>
      </c>
      <c r="B15" s="10" t="s">
        <v>58</v>
      </c>
      <c r="C15" s="11" t="s">
        <v>59</v>
      </c>
      <c r="D15" s="12" t="n">
        <v>6</v>
      </c>
      <c r="E15" s="13" t="n">
        <v>2</v>
      </c>
      <c r="F15" s="14" t="n">
        <f aca="false">ROUND($D15*E15/5,1)</f>
        <v>2.4</v>
      </c>
      <c r="G15" s="11" t="s">
        <v>60</v>
      </c>
      <c r="H15" s="13" t="n">
        <v>3</v>
      </c>
      <c r="I15" s="14" t="n">
        <f aca="false">ROUND($D15*H15/5,1)</f>
        <v>3.6</v>
      </c>
      <c r="J15" s="11" t="s">
        <v>61</v>
      </c>
      <c r="K15" s="13" t="n">
        <v>2</v>
      </c>
      <c r="L15" s="14" t="n">
        <f aca="false">ROUND($D15*K15/5,1)</f>
        <v>2.4</v>
      </c>
      <c r="M15" s="11" t="s">
        <v>62</v>
      </c>
    </row>
    <row r="16" customFormat="false" ht="87.75" hidden="false" customHeight="true" outlineLevel="0" collapsed="false">
      <c r="A16" s="9" t="s">
        <v>63</v>
      </c>
      <c r="B16" s="10" t="s">
        <v>64</v>
      </c>
      <c r="C16" s="11" t="s">
        <v>65</v>
      </c>
      <c r="D16" s="12" t="n">
        <v>5</v>
      </c>
      <c r="E16" s="13" t="n">
        <v>2</v>
      </c>
      <c r="F16" s="14" t="n">
        <f aca="false">ROUND($D16*E16/5,1)</f>
        <v>2</v>
      </c>
      <c r="G16" s="11" t="s">
        <v>66</v>
      </c>
      <c r="H16" s="13" t="n">
        <v>3</v>
      </c>
      <c r="I16" s="14" t="n">
        <f aca="false">ROUND($D16*H16/5,1)</f>
        <v>3</v>
      </c>
      <c r="J16" s="11" t="s">
        <v>67</v>
      </c>
      <c r="K16" s="13" t="n">
        <v>3</v>
      </c>
      <c r="L16" s="14" t="n">
        <f aca="false">ROUND($D16*K16/5,1)</f>
        <v>3</v>
      </c>
      <c r="M16" s="11" t="s">
        <v>68</v>
      </c>
    </row>
    <row r="17" customFormat="false" ht="87.75" hidden="false" customHeight="true" outlineLevel="0" collapsed="false">
      <c r="A17" s="9" t="s">
        <v>69</v>
      </c>
      <c r="B17" s="10" t="s">
        <v>70</v>
      </c>
      <c r="C17" s="11" t="s">
        <v>71</v>
      </c>
      <c r="D17" s="12" t="n">
        <v>6</v>
      </c>
      <c r="E17" s="13" t="n">
        <v>3</v>
      </c>
      <c r="F17" s="14" t="n">
        <f aca="false">ROUND($D17*E17/5,1)</f>
        <v>3.6</v>
      </c>
      <c r="G17" s="11" t="s">
        <v>72</v>
      </c>
      <c r="H17" s="13" t="n">
        <v>3</v>
      </c>
      <c r="I17" s="14" t="n">
        <f aca="false">ROUND($D17*H17/5,1)</f>
        <v>3.6</v>
      </c>
      <c r="J17" s="11" t="s">
        <v>73</v>
      </c>
      <c r="K17" s="13" t="n">
        <v>4</v>
      </c>
      <c r="L17" s="14" t="n">
        <f aca="false">ROUND($D17*K17/5,1)</f>
        <v>4.8</v>
      </c>
      <c r="M17" s="11" t="s">
        <v>74</v>
      </c>
    </row>
    <row r="18" customFormat="false" ht="15" hidden="false" customHeight="false" outlineLevel="0" collapsed="false">
      <c r="A18" s="17" t="s">
        <v>75</v>
      </c>
      <c r="B18" s="17"/>
      <c r="C18" s="17"/>
      <c r="D18" s="18" t="n">
        <f aca="false">SUM(D14:D17)</f>
        <v>23</v>
      </c>
      <c r="E18" s="19"/>
      <c r="F18" s="20" t="n">
        <f aca="false">ROUND(SUM(F14:F17),1)</f>
        <v>11.6</v>
      </c>
      <c r="G18" s="19"/>
      <c r="H18" s="19"/>
      <c r="I18" s="20" t="n">
        <f aca="false">ROUND(SUM(I14:I17),1)</f>
        <v>15</v>
      </c>
      <c r="J18" s="19"/>
      <c r="K18" s="19"/>
      <c r="L18" s="20" t="n">
        <f aca="false">ROUND(SUM(L14:L17),1)</f>
        <v>12.6</v>
      </c>
      <c r="M18" s="19"/>
    </row>
    <row r="19" customFormat="false" ht="15" hidden="false" customHeight="false" outlineLevel="0" collapsed="false">
      <c r="A19" s="6" t="s">
        <v>76</v>
      </c>
      <c r="B19" s="6"/>
      <c r="C19" s="6"/>
      <c r="D19" s="7" t="n">
        <v>27</v>
      </c>
      <c r="E19" s="8"/>
      <c r="F19" s="8"/>
      <c r="G19" s="8"/>
      <c r="H19" s="8"/>
      <c r="I19" s="8"/>
      <c r="J19" s="8"/>
      <c r="K19" s="8"/>
      <c r="L19" s="8"/>
      <c r="M19" s="8"/>
    </row>
    <row r="20" customFormat="false" ht="87.75" hidden="false" customHeight="true" outlineLevel="0" collapsed="false">
      <c r="A20" s="9" t="s">
        <v>77</v>
      </c>
      <c r="B20" s="10" t="s">
        <v>78</v>
      </c>
      <c r="C20" s="15" t="s">
        <v>79</v>
      </c>
      <c r="D20" s="12" t="n">
        <v>8</v>
      </c>
      <c r="E20" s="13" t="n">
        <v>3</v>
      </c>
      <c r="F20" s="14" t="n">
        <f aca="false">ROUND($D20*E20/5,1)</f>
        <v>4.8</v>
      </c>
      <c r="G20" s="15" t="s">
        <v>80</v>
      </c>
      <c r="H20" s="13" t="n">
        <v>2</v>
      </c>
      <c r="I20" s="14" t="n">
        <f aca="false">ROUND($D20*H20/5,1)</f>
        <v>3.2</v>
      </c>
      <c r="J20" s="11" t="s">
        <v>81</v>
      </c>
      <c r="K20" s="13" t="n">
        <v>4</v>
      </c>
      <c r="L20" s="14" t="n">
        <f aca="false">ROUND($D20*K20/5,1)</f>
        <v>6.4</v>
      </c>
      <c r="M20" s="15" t="s">
        <v>82</v>
      </c>
    </row>
    <row r="21" customFormat="false" ht="87.75" hidden="false" customHeight="true" outlineLevel="0" collapsed="false">
      <c r="A21" s="9" t="s">
        <v>83</v>
      </c>
      <c r="B21" s="10" t="s">
        <v>84</v>
      </c>
      <c r="C21" s="15" t="s">
        <v>85</v>
      </c>
      <c r="D21" s="12" t="n">
        <v>8</v>
      </c>
      <c r="E21" s="16" t="n">
        <v>4</v>
      </c>
      <c r="F21" s="14" t="n">
        <f aca="false">ROUND($D21*E21/5,1)</f>
        <v>6.4</v>
      </c>
      <c r="G21" s="11" t="s">
        <v>86</v>
      </c>
      <c r="H21" s="16" t="n">
        <v>2</v>
      </c>
      <c r="I21" s="14" t="n">
        <f aca="false">ROUND($D21*H21/5,1)</f>
        <v>3.2</v>
      </c>
      <c r="J21" s="11" t="s">
        <v>87</v>
      </c>
      <c r="K21" s="16" t="n">
        <v>2</v>
      </c>
      <c r="L21" s="14" t="n">
        <f aca="false">ROUND($D21*K21/5,1)</f>
        <v>3.2</v>
      </c>
      <c r="M21" s="11" t="s">
        <v>88</v>
      </c>
    </row>
    <row r="22" customFormat="false" ht="87.75" hidden="false" customHeight="true" outlineLevel="0" collapsed="false">
      <c r="A22" s="9" t="s">
        <v>89</v>
      </c>
      <c r="B22" s="10" t="s">
        <v>90</v>
      </c>
      <c r="C22" s="11" t="s">
        <v>91</v>
      </c>
      <c r="D22" s="12" t="n">
        <v>6</v>
      </c>
      <c r="E22" s="16" t="n">
        <v>2</v>
      </c>
      <c r="F22" s="14" t="n">
        <f aca="false">ROUND($D22*E22/5,1)</f>
        <v>2.4</v>
      </c>
      <c r="G22" s="11" t="s">
        <v>92</v>
      </c>
      <c r="H22" s="16" t="n">
        <v>3</v>
      </c>
      <c r="I22" s="14" t="n">
        <f aca="false">ROUND($D22*H22/5,1)</f>
        <v>3.6</v>
      </c>
      <c r="J22" s="11" t="s">
        <v>93</v>
      </c>
      <c r="K22" s="16" t="n">
        <v>2</v>
      </c>
      <c r="L22" s="14" t="n">
        <f aca="false">ROUND($D22*K22/5,1)</f>
        <v>2.4</v>
      </c>
      <c r="M22" s="11" t="s">
        <v>94</v>
      </c>
    </row>
    <row r="23" customFormat="false" ht="87.75" hidden="false" customHeight="true" outlineLevel="0" collapsed="false">
      <c r="A23" s="9" t="s">
        <v>95</v>
      </c>
      <c r="B23" s="10" t="s">
        <v>96</v>
      </c>
      <c r="C23" s="11" t="s">
        <v>97</v>
      </c>
      <c r="D23" s="12" t="n">
        <v>5</v>
      </c>
      <c r="E23" s="13" t="n">
        <v>4</v>
      </c>
      <c r="F23" s="14" t="n">
        <f aca="false">ROUND($D23*E23/5,1)</f>
        <v>4</v>
      </c>
      <c r="G23" s="11" t="s">
        <v>98</v>
      </c>
      <c r="H23" s="13" t="n">
        <v>3</v>
      </c>
      <c r="I23" s="14" t="n">
        <f aca="false">ROUND($D23*H23/5,1)</f>
        <v>3</v>
      </c>
      <c r="J23" s="11" t="s">
        <v>99</v>
      </c>
      <c r="K23" s="13" t="n">
        <v>4</v>
      </c>
      <c r="L23" s="14" t="n">
        <f aca="false">ROUND($D23*K23/5,1)</f>
        <v>4</v>
      </c>
      <c r="M23" s="11" t="s">
        <v>100</v>
      </c>
    </row>
    <row r="24" customFormat="false" ht="15" hidden="false" customHeight="false" outlineLevel="0" collapsed="false">
      <c r="A24" s="17" t="s">
        <v>101</v>
      </c>
      <c r="B24" s="17"/>
      <c r="C24" s="17"/>
      <c r="D24" s="18" t="n">
        <f aca="false">SUM(D20:D23)</f>
        <v>27</v>
      </c>
      <c r="E24" s="19"/>
      <c r="F24" s="20" t="n">
        <f aca="false">ROUND(SUM(F20:F23),1)</f>
        <v>17.6</v>
      </c>
      <c r="G24" s="19"/>
      <c r="H24" s="19"/>
      <c r="I24" s="20" t="n">
        <f aca="false">ROUND(SUM(I20:I23),1)</f>
        <v>13</v>
      </c>
      <c r="J24" s="19"/>
      <c r="K24" s="19"/>
      <c r="L24" s="20" t="n">
        <f aca="false">ROUND(SUM(L20:L23),1)</f>
        <v>16</v>
      </c>
      <c r="M24" s="19"/>
    </row>
    <row r="25" customFormat="false" ht="21.75" hidden="false" customHeight="true" outlineLevel="0" collapsed="false">
      <c r="A25" s="21" t="s">
        <v>102</v>
      </c>
      <c r="B25" s="21"/>
      <c r="C25" s="21"/>
      <c r="D25" s="22" t="n">
        <v>100</v>
      </c>
      <c r="E25" s="23"/>
      <c r="F25" s="24" t="n">
        <f aca="false">ROUND(F12+F18+F24,1)</f>
        <v>58.4</v>
      </c>
      <c r="G25" s="23"/>
      <c r="H25" s="23"/>
      <c r="I25" s="24" t="n">
        <f aca="false">ROUND(I12+I18+I24,1)</f>
        <v>64.4</v>
      </c>
      <c r="J25" s="23"/>
      <c r="K25" s="23"/>
      <c r="L25" s="24" t="n">
        <f aca="false">ROUND(L12+L18+L24,1)</f>
        <v>75.4</v>
      </c>
      <c r="M25" s="23"/>
    </row>
  </sheetData>
  <mergeCells count="16">
    <mergeCell ref="A1:M1"/>
    <mergeCell ref="A2:M2"/>
    <mergeCell ref="A3:A4"/>
    <mergeCell ref="B3:B4"/>
    <mergeCell ref="C3:C4"/>
    <mergeCell ref="D3:D4"/>
    <mergeCell ref="E3:G3"/>
    <mergeCell ref="H3:J3"/>
    <mergeCell ref="K3:M3"/>
    <mergeCell ref="A5:C5"/>
    <mergeCell ref="A12:C12"/>
    <mergeCell ref="A13:C13"/>
    <mergeCell ref="A18:C18"/>
    <mergeCell ref="A19:C19"/>
    <mergeCell ref="A24:C24"/>
    <mergeCell ref="A25:C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7"/>
    <col collapsed="false" customWidth="true" hidden="false" outlineLevel="0" max="5" min="3" style="0" width="13"/>
  </cols>
  <sheetData>
    <row r="1" customFormat="false" ht="21.75" hidden="false" customHeight="true" outlineLevel="0" collapsed="false">
      <c r="A1" s="25" t="s">
        <v>103</v>
      </c>
      <c r="B1" s="25"/>
      <c r="C1" s="25"/>
      <c r="D1" s="25"/>
      <c r="E1" s="25"/>
    </row>
    <row r="3" customFormat="false" ht="15" hidden="false" customHeight="false" outlineLevel="0" collapsed="false">
      <c r="A3" s="4" t="s">
        <v>104</v>
      </c>
      <c r="B3" s="4" t="s">
        <v>5</v>
      </c>
      <c r="C3" s="3" t="s">
        <v>105</v>
      </c>
      <c r="D3" s="3" t="s">
        <v>106</v>
      </c>
      <c r="E3" s="3" t="s">
        <v>107</v>
      </c>
    </row>
    <row r="4" customFormat="false" ht="15" hidden="false" customHeight="false" outlineLevel="0" collapsed="false">
      <c r="A4" s="26" t="s">
        <v>108</v>
      </c>
      <c r="B4" s="12" t="n">
        <v>50</v>
      </c>
      <c r="C4" s="14" t="n">
        <f aca="false">'採点表（仮採点・理由）'!F12</f>
        <v>29.2</v>
      </c>
      <c r="D4" s="14" t="n">
        <f aca="false">'採点表（仮採点・理由）'!I12</f>
        <v>36.4</v>
      </c>
      <c r="E4" s="14" t="n">
        <f aca="false">'採点表（仮採点・理由）'!L12</f>
        <v>46.8</v>
      </c>
    </row>
    <row r="5" customFormat="false" ht="15" hidden="false" customHeight="false" outlineLevel="0" collapsed="false">
      <c r="A5" s="26" t="s">
        <v>109</v>
      </c>
      <c r="B5" s="12" t="n">
        <v>23</v>
      </c>
      <c r="C5" s="14" t="n">
        <f aca="false">'採点表（仮採点・理由）'!F18</f>
        <v>11.6</v>
      </c>
      <c r="D5" s="14" t="n">
        <f aca="false">'採点表（仮採点・理由）'!I18</f>
        <v>15</v>
      </c>
      <c r="E5" s="14" t="n">
        <f aca="false">'採点表（仮採点・理由）'!L18</f>
        <v>12.6</v>
      </c>
    </row>
    <row r="6" customFormat="false" ht="15" hidden="false" customHeight="false" outlineLevel="0" collapsed="false">
      <c r="A6" s="26" t="s">
        <v>110</v>
      </c>
      <c r="B6" s="12" t="n">
        <v>27</v>
      </c>
      <c r="C6" s="14" t="n">
        <f aca="false">'採点表（仮採点・理由）'!F24</f>
        <v>17.6</v>
      </c>
      <c r="D6" s="14" t="n">
        <f aca="false">'採点表（仮採点・理由）'!I24</f>
        <v>13</v>
      </c>
      <c r="E6" s="14" t="n">
        <f aca="false">'採点表（仮採点・理由）'!L24</f>
        <v>16</v>
      </c>
    </row>
    <row r="7" customFormat="false" ht="15" hidden="false" customHeight="false" outlineLevel="0" collapsed="false">
      <c r="A7" s="27" t="s">
        <v>111</v>
      </c>
      <c r="B7" s="13" t="n">
        <v>100</v>
      </c>
      <c r="C7" s="24" t="n">
        <f aca="false">'採点表（仮採点・理由）'!F25</f>
        <v>58.4</v>
      </c>
      <c r="D7" s="24" t="n">
        <f aca="false">'採点表（仮採点・理由）'!I25</f>
        <v>64.4</v>
      </c>
      <c r="E7" s="24" t="n">
        <f aca="false">'採点表（仮採点・理由）'!L25</f>
        <v>75.4</v>
      </c>
    </row>
    <row r="9" customFormat="false" ht="15" hidden="false" customHeight="false" outlineLevel="0" collapsed="false">
      <c r="A9" s="28"/>
    </row>
    <row r="10" customFormat="false" ht="15" hidden="false" customHeight="false" outlineLevel="0" collapsed="false">
      <c r="A10" s="29" t="s">
        <v>112</v>
      </c>
    </row>
    <row r="11" customFormat="false" ht="15" hidden="false" customHeight="false" outlineLevel="0" collapsed="false">
      <c r="A11" s="28" t="s">
        <v>113</v>
      </c>
    </row>
    <row r="12" customFormat="false" ht="15" hidden="false" customHeight="false" outlineLevel="0" collapsed="false">
      <c r="A12" s="30" t="s">
        <v>114</v>
      </c>
    </row>
    <row r="13" customFormat="false" ht="15" hidden="false" customHeight="false" outlineLevel="0" collapsed="false">
      <c r="A13" s="28" t="s">
        <v>115</v>
      </c>
    </row>
    <row r="14" customFormat="false" ht="15" hidden="false" customHeight="false" outlineLevel="0" collapsed="false">
      <c r="A14" s="30" t="s">
        <v>116</v>
      </c>
    </row>
    <row r="15" customFormat="false" ht="15" hidden="false" customHeight="false" outlineLevel="0" collapsed="false">
      <c r="A15" s="28" t="s">
        <v>117</v>
      </c>
    </row>
    <row r="16" customFormat="false" ht="15" hidden="false" customHeight="false" outlineLevel="0" collapsed="false">
      <c r="A16" s="30" t="s">
        <v>118</v>
      </c>
    </row>
    <row r="17" customFormat="false" ht="15" hidden="false" customHeight="false" outlineLevel="0" collapsed="false">
      <c r="A17" s="30"/>
    </row>
    <row r="18" customFormat="false" ht="15" hidden="false" customHeight="false" outlineLevel="0" collapsed="false">
      <c r="A18" s="29" t="s">
        <v>119</v>
      </c>
    </row>
    <row r="19" customFormat="false" ht="15" hidden="false" customHeight="false" outlineLevel="0" collapsed="false">
      <c r="A19" s="30" t="s">
        <v>120</v>
      </c>
    </row>
    <row r="20" customFormat="false" ht="15" hidden="false" customHeight="false" outlineLevel="0" collapsed="false">
      <c r="A20" s="30" t="s">
        <v>121</v>
      </c>
    </row>
    <row r="21" customFormat="false" ht="15" hidden="false" customHeight="false" outlineLevel="0" collapsed="false">
      <c r="A21" s="30" t="s">
        <v>122</v>
      </c>
    </row>
    <row r="22" customFormat="false" ht="15" hidden="false" customHeight="false" outlineLevel="0" collapsed="false">
      <c r="A22" s="30" t="s">
        <v>123</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5" min="2" style="0" width="30"/>
  </cols>
  <sheetData>
    <row r="1" customFormat="false" ht="21.75" hidden="false" customHeight="true" outlineLevel="0" collapsed="false">
      <c r="A1" s="25" t="s">
        <v>124</v>
      </c>
      <c r="B1" s="25"/>
      <c r="C1" s="25"/>
      <c r="D1" s="25"/>
      <c r="E1" s="25"/>
    </row>
    <row r="3" customFormat="false" ht="15" hidden="false" customHeight="false" outlineLevel="0" collapsed="false">
      <c r="A3" s="31" t="s">
        <v>125</v>
      </c>
      <c r="B3" s="32" t="s">
        <v>105</v>
      </c>
      <c r="C3" s="32" t="s">
        <v>106</v>
      </c>
      <c r="D3" s="32" t="s">
        <v>107</v>
      </c>
      <c r="E3" s="31" t="s">
        <v>126</v>
      </c>
    </row>
    <row r="4" customFormat="false" ht="45.75" hidden="false" customHeight="true" outlineLevel="0" collapsed="false">
      <c r="A4" s="10" t="s">
        <v>127</v>
      </c>
      <c r="B4" s="33" t="s">
        <v>128</v>
      </c>
      <c r="C4" s="34" t="s">
        <v>129</v>
      </c>
      <c r="D4" s="33" t="s">
        <v>130</v>
      </c>
      <c r="E4" s="34" t="s">
        <v>131</v>
      </c>
    </row>
    <row r="5" customFormat="false" ht="45.75" hidden="false" customHeight="true" outlineLevel="0" collapsed="false">
      <c r="A5" s="10" t="s">
        <v>132</v>
      </c>
      <c r="B5" s="33" t="s">
        <v>133</v>
      </c>
      <c r="C5" s="33" t="s">
        <v>134</v>
      </c>
      <c r="D5" s="33" t="s">
        <v>135</v>
      </c>
      <c r="E5" s="34" t="s">
        <v>136</v>
      </c>
    </row>
    <row r="6" customFormat="false" ht="45.75" hidden="false" customHeight="true" outlineLevel="0" collapsed="false">
      <c r="A6" s="10" t="s">
        <v>137</v>
      </c>
      <c r="B6" s="34" t="s">
        <v>138</v>
      </c>
      <c r="C6" s="34" t="s">
        <v>139</v>
      </c>
      <c r="D6" s="34" t="s">
        <v>140</v>
      </c>
      <c r="E6" s="34" t="s">
        <v>141</v>
      </c>
    </row>
    <row r="7" customFormat="false" ht="45.75" hidden="false" customHeight="true" outlineLevel="0" collapsed="false">
      <c r="A7" s="35" t="s">
        <v>142</v>
      </c>
      <c r="B7" s="33" t="s">
        <v>143</v>
      </c>
      <c r="C7" s="33" t="s">
        <v>144</v>
      </c>
      <c r="D7" s="33" t="s">
        <v>145</v>
      </c>
      <c r="E7" s="33" t="s">
        <v>146</v>
      </c>
    </row>
    <row r="8" customFormat="false" ht="45.75" hidden="false" customHeight="true" outlineLevel="0" collapsed="false">
      <c r="A8" s="10" t="s">
        <v>147</v>
      </c>
      <c r="B8" s="34" t="s">
        <v>148</v>
      </c>
      <c r="C8" s="34" t="s">
        <v>149</v>
      </c>
      <c r="D8" s="34" t="s">
        <v>150</v>
      </c>
      <c r="E8" s="33" t="s">
        <v>151</v>
      </c>
    </row>
    <row r="9" customFormat="false" ht="45.75" hidden="false" customHeight="true" outlineLevel="0" collapsed="false">
      <c r="A9" s="10" t="s">
        <v>152</v>
      </c>
      <c r="B9" s="34" t="s">
        <v>149</v>
      </c>
      <c r="C9" s="34" t="s">
        <v>149</v>
      </c>
      <c r="D9" s="34" t="s">
        <v>153</v>
      </c>
      <c r="E9" s="33" t="s">
        <v>154</v>
      </c>
    </row>
    <row r="10" customFormat="false" ht="45.75" hidden="false" customHeight="true" outlineLevel="0" collapsed="false">
      <c r="A10" s="10" t="s">
        <v>155</v>
      </c>
      <c r="B10" s="34" t="s">
        <v>149</v>
      </c>
      <c r="C10" s="34" t="s">
        <v>156</v>
      </c>
      <c r="D10" s="34" t="s">
        <v>157</v>
      </c>
      <c r="E10" s="33" t="s">
        <v>158</v>
      </c>
    </row>
    <row r="11" customFormat="false" ht="45.75" hidden="false" customHeight="true" outlineLevel="0" collapsed="false">
      <c r="A11" s="10" t="s">
        <v>159</v>
      </c>
      <c r="B11" s="34" t="s">
        <v>149</v>
      </c>
      <c r="C11" s="34" t="s">
        <v>160</v>
      </c>
      <c r="D11" s="34" t="s">
        <v>161</v>
      </c>
      <c r="E11" s="33" t="s">
        <v>162</v>
      </c>
    </row>
    <row r="12" customFormat="false" ht="45.75" hidden="false" customHeight="true" outlineLevel="0" collapsed="false">
      <c r="A12" s="10" t="s">
        <v>163</v>
      </c>
      <c r="B12" s="34" t="s">
        <v>164</v>
      </c>
      <c r="C12" s="34" t="s">
        <v>165</v>
      </c>
      <c r="D12" s="34" t="s">
        <v>166</v>
      </c>
      <c r="E12" s="34"/>
    </row>
    <row r="13" customFormat="false" ht="45.75" hidden="false" customHeight="true" outlineLevel="0" collapsed="false">
      <c r="A13" s="10" t="s">
        <v>167</v>
      </c>
      <c r="B13" s="34" t="s">
        <v>168</v>
      </c>
      <c r="C13" s="33" t="s">
        <v>169</v>
      </c>
      <c r="D13" s="34" t="s">
        <v>170</v>
      </c>
      <c r="E13" s="34" t="s">
        <v>171</v>
      </c>
    </row>
    <row r="14" customFormat="false" ht="45.75" hidden="false" customHeight="true" outlineLevel="0" collapsed="false">
      <c r="A14" s="10" t="s">
        <v>172</v>
      </c>
      <c r="B14" s="34" t="s">
        <v>173</v>
      </c>
      <c r="C14" s="33" t="s">
        <v>174</v>
      </c>
      <c r="D14" s="33" t="s">
        <v>175</v>
      </c>
      <c r="E14" s="33" t="s">
        <v>176</v>
      </c>
    </row>
    <row r="15" customFormat="false" ht="45.75" hidden="false" customHeight="true" outlineLevel="0" collapsed="false">
      <c r="A15" s="10" t="s">
        <v>177</v>
      </c>
      <c r="B15" s="34" t="s">
        <v>178</v>
      </c>
      <c r="C15" s="33" t="s">
        <v>179</v>
      </c>
      <c r="D15" s="34" t="s">
        <v>180</v>
      </c>
      <c r="E15" s="34" t="s">
        <v>181</v>
      </c>
    </row>
    <row r="16" customFormat="false" ht="45.75" hidden="false" customHeight="true" outlineLevel="0" collapsed="false">
      <c r="A16" s="10" t="s">
        <v>182</v>
      </c>
      <c r="B16" s="33" t="s">
        <v>183</v>
      </c>
      <c r="C16" s="34" t="s">
        <v>184</v>
      </c>
      <c r="D16" s="34" t="s">
        <v>184</v>
      </c>
      <c r="E16" s="33" t="s">
        <v>185</v>
      </c>
    </row>
    <row r="18" customFormat="false" ht="15" hidden="false" customHeight="false" outlineLevel="0" collapsed="false">
      <c r="A18" s="36" t="s">
        <v>186</v>
      </c>
      <c r="B18" s="36"/>
      <c r="C18" s="36"/>
      <c r="D18" s="36"/>
      <c r="E18" s="36"/>
    </row>
    <row r="19" customFormat="false" ht="42" hidden="false" customHeight="true" outlineLevel="0" collapsed="false">
      <c r="A19" s="37" t="s">
        <v>187</v>
      </c>
      <c r="B19" s="37"/>
      <c r="C19" s="37"/>
      <c r="D19" s="37"/>
      <c r="E19" s="37"/>
    </row>
    <row r="20" customFormat="false" ht="42" hidden="false" customHeight="true" outlineLevel="0" collapsed="false">
      <c r="A20" s="37" t="s">
        <v>188</v>
      </c>
      <c r="B20" s="37"/>
      <c r="C20" s="37"/>
      <c r="D20" s="37"/>
      <c r="E20" s="37"/>
    </row>
    <row r="22" customFormat="false" ht="14.9" hidden="false" customHeight="false" outlineLevel="0" collapsed="false">
      <c r="A22" s="36" t="s">
        <v>189</v>
      </c>
      <c r="B22" s="36"/>
      <c r="C22" s="36"/>
      <c r="D22" s="36"/>
      <c r="E22" s="36"/>
    </row>
    <row r="23" customFormat="false" ht="57.75" hidden="false" customHeight="true" outlineLevel="0" collapsed="false">
      <c r="A23" s="10" t="s">
        <v>190</v>
      </c>
      <c r="B23" s="34" t="s">
        <v>191</v>
      </c>
      <c r="C23" s="34"/>
      <c r="D23" s="34"/>
      <c r="E23" s="34"/>
    </row>
    <row r="24" customFormat="false" ht="57.75" hidden="false" customHeight="true" outlineLevel="0" collapsed="false">
      <c r="A24" s="10" t="s">
        <v>192</v>
      </c>
      <c r="B24" s="34" t="s">
        <v>193</v>
      </c>
      <c r="C24" s="34"/>
      <c r="D24" s="34"/>
      <c r="E24" s="34"/>
    </row>
    <row r="25" customFormat="false" ht="57.75" hidden="false" customHeight="true" outlineLevel="0" collapsed="false">
      <c r="A25" s="10" t="s">
        <v>194</v>
      </c>
      <c r="B25" s="33" t="s">
        <v>195</v>
      </c>
      <c r="C25" s="33"/>
      <c r="D25" s="33"/>
      <c r="E25" s="33"/>
    </row>
    <row r="26" customFormat="false" ht="57.75" hidden="false" customHeight="true" outlineLevel="0" collapsed="false">
      <c r="A26" s="10" t="s">
        <v>196</v>
      </c>
      <c r="B26" s="33" t="s">
        <v>197</v>
      </c>
      <c r="C26" s="33"/>
      <c r="D26" s="33"/>
      <c r="E26" s="33"/>
    </row>
    <row r="27" customFormat="false" ht="57.75" hidden="false" customHeight="true" outlineLevel="0" collapsed="false">
      <c r="A27" s="10" t="s">
        <v>198</v>
      </c>
      <c r="B27" s="34" t="s">
        <v>199</v>
      </c>
      <c r="C27" s="34"/>
      <c r="D27" s="34"/>
      <c r="E27" s="34"/>
    </row>
  </sheetData>
  <mergeCells count="10">
    <mergeCell ref="A1:E1"/>
    <mergeCell ref="A18:E18"/>
    <mergeCell ref="A19:E19"/>
    <mergeCell ref="A20:E20"/>
    <mergeCell ref="A22:E22"/>
    <mergeCell ref="B23:E23"/>
    <mergeCell ref="B24:E24"/>
    <mergeCell ref="B25:E25"/>
    <mergeCell ref="B26:E26"/>
    <mergeCell ref="B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2026-08-10T11:03:30Z</dcterms:created>
  <dc:creator>openpyxl</dc:creator>
  <dc:description/>
  <dc:language>en-US</dc:language>
  <cp:lastModifiedBy/>
  <dcterms:modified xsi:type="dcterms:W3CDTF">2026-08-10T11:03:30Z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